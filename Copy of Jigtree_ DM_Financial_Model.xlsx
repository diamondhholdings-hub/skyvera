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-Year DM Scenarios" sheetId="1" r:id="rId5"/>
    <sheet state="visible" name="Pricing &amp; Mix Impact" sheetId="2" r:id="rId6"/>
    <sheet state="visible" name="DM Thresholds (M-Q-A)" sheetId="3" r:id="rId7"/>
  </sheets>
  <definedNames/>
  <calcPr/>
</workbook>
</file>

<file path=xl/sharedStrings.xml><?xml version="1.0" encoding="utf-8"?>
<sst xmlns="http://schemas.openxmlformats.org/spreadsheetml/2006/main" count="300" uniqueCount="182">
  <si>
    <t>DOLLAR MAINTENANCE (DM) MODEL</t>
  </si>
  <si>
    <t>DM = Ending Period Revenue / Beginning Period Revenue (all forces: ice melt + price increases + upsell + cross-sell + new business)</t>
  </si>
  <si>
    <t>90% DM Floor = max 10% net revenue loss after all expansion. Hold forever. Extract durable cash flow.</t>
  </si>
  <si>
    <t>GLOBAL ASSUMPTIONS</t>
  </si>
  <si>
    <t>Starting ARR ($K)</t>
  </si>
  <si>
    <t>DM Floor (Annual/TTM)</t>
  </si>
  <si>
    <t>PRICING TIERS</t>
  </si>
  <si>
    <t>Two options only: 25% standard or 45% Platinum</t>
  </si>
  <si>
    <t>Standard Price Increase</t>
  </si>
  <si>
    <t>Platinum Price Increase</t>
  </si>
  <si>
    <t>% of ARR on Platinum</t>
  </si>
  <si>
    <t>Typically 20-30% of ARR</t>
  </si>
  <si>
    <t>% of ARR on Standard</t>
  </si>
  <si>
    <t>Remainder</t>
  </si>
  <si>
    <t>Blended Price Increase</t>
  </si>
  <si>
    <t>Weighted avg: 75% at 25% + 25% at 45%</t>
  </si>
  <si>
    <t>CONTRACT TERM MIX</t>
  </si>
  <si>
    <t>25%/45% increase applied once at renewal, then flat for term duration</t>
  </si>
  <si>
    <t>% of ARR on 1-Year Terms</t>
  </si>
  <si>
    <t>60-70% due to procurement limitations</t>
  </si>
  <si>
    <t>% of ARR on 3-Year Terms</t>
  </si>
  <si>
    <t>Get 25%/45% once, flat for 3 years</t>
  </si>
  <si>
    <t>% of ARR on 5-Year Terms</t>
  </si>
  <si>
    <t>Get 25%/45% once, flat for 5 years</t>
  </si>
  <si>
    <t>Mix Total (must = 100%)</t>
  </si>
  <si>
    <t>% of ARR Renewing Per Year</t>
  </si>
  <si>
    <t>1yr renews 100%, 3yr renews 33%, 5yr renews 20% per year</t>
  </si>
  <si>
    <t>Effective Annual Price Increase</t>
  </si>
  <si>
    <t>Blended increase x % of base renewing this year</t>
  </si>
  <si>
    <t>DM BREAKEVEN ICE MELT RATE</t>
  </si>
  <si>
    <t>Logo loss rate producing exactly 90% DM at this pricing/mix (assumes 6% expansion)</t>
  </si>
  <si>
    <t>SCENARIO A: Collapsing (Below 90% DM)</t>
  </si>
  <si>
    <t>Ice melt overwhelms pricing power at this contract mix</t>
  </si>
  <si>
    <t>Logo Ice Melt Rate</t>
  </si>
  <si>
    <t>Upsell Rate</t>
  </si>
  <si>
    <t>Cross-Sell Rate</t>
  </si>
  <si>
    <t>New Business Rate</t>
  </si>
  <si>
    <t>Start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</si>
  <si>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</si>
  <si>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</si>
  <si>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</si>
  <si>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</si>
  <si>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</si>
  <si>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</si>
  <si>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</si>
  <si>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</si>
  <si>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</si>
  <si>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</si>
  <si>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Beginning ARR ($K)</t>
  </si>
  <si>
    <t>Ice Melt ($K)</t>
  </si>
  <si>
    <t>Price Increases ($K)</t>
  </si>
  <si>
    <t xml:space="preserve">  Standard Tier ($K)</t>
  </si>
  <si>
    <t xml:space="preserve">  Platinum Tier ($K)</t>
  </si>
  <si>
    <t>Upsell ($K)</t>
  </si>
  <si>
    <t>Cross-Sell ($K)</t>
  </si>
  <si>
    <t>New Business ($K)</t>
  </si>
  <si>
    <t>Net Change ($K)</t>
  </si>
  <si>
    <t>Ending ARR ($K)</t>
  </si>
  <si>
    <t>DM %</t>
  </si>
  <si>
    <t>n/a</t>
  </si>
  <si>
    <t>vs 90% Floor</t>
  </si>
  <si>
    <t>Cumulative Cash ($K)</t>
  </si>
  <si>
    <t>Cash Multiple on Start</t>
  </si>
  <si>
    <t>SCENARIO B: Melting Ice Cube (90-100% DM)</t>
  </si>
  <si>
    <t>Above the floor, slowly eroding, price increases mask underlying loss</t>
  </si>
  <si>
    <t>SCENARIO C: Stable (100-115% DM)</t>
  </si>
  <si>
    <t>Low ice melt + blended pricing + expansion = base grows</t>
  </si>
  <si>
    <t>SCENARIO D: Cash Machine (115%+ DM)</t>
  </si>
  <si>
    <t>Minimal ice melt, all levers working, compounding on a stable base</t>
  </si>
  <si>
    <t>10-YEAR HOLD-FOREVER COMPARISON</t>
  </si>
  <si>
    <t>Metric</t>
  </si>
  <si>
    <t>A: Collapsing</t>
  </si>
  <si>
    <t>B: Ice Cube</t>
  </si>
  <si>
    <t>C: Stable</t>
  </si>
  <si>
    <t>D: Cash Machine</t>
  </si>
  <si>
    <t>Effective Annual Repricing</t>
  </si>
  <si>
    <t>Year 1 DM %</t>
  </si>
  <si>
    <t>Year 5 DM %</t>
  </si>
  <si>
    <t>Year 10 DM %</t>
  </si>
  <si>
    <t>Year 10 ARR ($K)</t>
  </si>
  <si>
    <t>10-Yr Cumulative Cash ($K)</t>
  </si>
  <si>
    <t>10-Yr Cash Multiple</t>
  </si>
  <si>
    <t>NOTES</t>
  </si>
  <si>
    <t>DM = Ending Revenue / Beginning Revenue after ALL forces. 90% = accept max 10% net loss.</t>
  </si>
  <si>
    <t>Two pricing tiers: 25% standard, 45% Platinum (20-30% of ARR). Blended increase ~30% before contract dilution.</t>
  </si>
  <si>
    <t>60-70% of customers on 1-year terms due to procurement limitations. Remainder on 3 and 5-year terms.</t>
  </si>
  <si>
    <t>Price increase applied once at renewal, then flat for the term. Only the renewing slice of each pool gets repriced each year.</t>
  </si>
  <si>
    <t>Blue cells = inputs you can change. Purple cells = calculated. All scenarios use the same pricing/mix assumptions.</t>
  </si>
  <si>
    <t>PRICING TIER &amp; CONTRACT MIX IMPACT ON DM</t>
  </si>
  <si>
    <t>How Platinum %, contract terms, and ice melt interact</t>
  </si>
  <si>
    <t>PLATINUM MIX IMPACT (at 65/20/15 contract mix)</t>
  </si>
  <si>
    <t>Platinum % of ARR</t>
  </si>
  <si>
    <t>Blended Increase</t>
  </si>
  <si>
    <t>Eff Annual Repricing</t>
  </si>
  <si>
    <t>Breakeven Ice Melt</t>
  </si>
  <si>
    <t>Platinum Lift vs 0%</t>
  </si>
  <si>
    <t>Baseline</t>
  </si>
  <si>
    <t>CONTRACT MIX IMPACT (at 25% Platinum)</t>
  </si>
  <si>
    <t>Mix Name</t>
  </si>
  <si>
    <t>1-Yr</t>
  </si>
  <si>
    <t>3-Yr</t>
  </si>
  <si>
    <t>5-Yr</t>
  </si>
  <si>
    <t>% Renewing/Yr</t>
  </si>
  <si>
    <t>Eff Price Incr</t>
  </si>
  <si>
    <t>Assessment</t>
  </si>
  <si>
    <t>All Annual</t>
  </si>
  <si>
    <t>Strong leverage, high tolerance</t>
  </si>
  <si>
    <t>Heavy Annual (70/20/10)</t>
  </si>
  <si>
    <t>Current Mix (65/20/15)</t>
  </si>
  <si>
    <t>Balanced (50/30/20)</t>
  </si>
  <si>
    <t>Multi-Year Heavy (30/40/30)</t>
  </si>
  <si>
    <t>All 3-Year</t>
  </si>
  <si>
    <t>Good leverage, solid margin</t>
  </si>
  <si>
    <t>All 5-Year</t>
  </si>
  <si>
    <t>DM % BY ICE MELT RATE (Current Mix 65/20/15, 25% Platinum, 6% expansion)</t>
  </si>
  <si>
    <t>Ice Melt</t>
  </si>
  <si>
    <t>Retained</t>
  </si>
  <si>
    <t>Price Incr $</t>
  </si>
  <si>
    <t>Expansion $</t>
  </si>
  <si>
    <t>Ending Rev</t>
  </si>
  <si>
    <t>Status</t>
  </si>
  <si>
    <t>Growing</t>
  </si>
  <si>
    <t>Above floor</t>
  </si>
  <si>
    <t>KEY TAKEAWAYS</t>
  </si>
  <si>
    <t>Platinum at 25% of ARR adds ~1.5% to the breakeven ice melt rate vs all-standard pricing. Small but meaningful over 20 years.</t>
  </si>
  <si>
    <t>At the current mix (65/20/15), effective annual repricing is ~22%. You can lose ~27% of logos before hitting the 90% floor.</t>
  </si>
  <si>
    <t>Procurement-driven 1-year terms are actually an advantage: 65% of the base reprices every year.</t>
  </si>
  <si>
    <t>The 45% Platinum increase is 80% more than standard (45 vs 25). Moving 5% more ARR to Platinum adds ~0.7% repricing leverage.</t>
  </si>
  <si>
    <t>Multi-year deals trade repricing power for revenue certainty. Best for fragile accounts post-acquisition.</t>
  </si>
  <si>
    <t>Target: push Platinum to 30% of ARR where possible, keep 1-year terms high, minimize 5-year deals.</t>
  </si>
  <si>
    <t>DM THRESHOLD: ANNUAL -&gt; QUARTERLY -&gt; MONTHLY</t>
  </si>
  <si>
    <t>90% TTM DM means max 10% net revenue loss per year. What does that mean per month and quarter?</t>
  </si>
  <si>
    <t>Annual/TTM DM Floor</t>
  </si>
  <si>
    <t>MATHEMATICAL EQUIVALENTS</t>
  </si>
  <si>
    <t>Period</t>
  </si>
  <si>
    <t>DM Floor</t>
  </si>
  <si>
    <t>Max Net Loss %</t>
  </si>
  <si>
    <t>Max Loss on $10M ARR</t>
  </si>
  <si>
    <t>Note</t>
  </si>
  <si>
    <t>Annual (TTM)</t>
  </si>
  <si>
    <t>Input</t>
  </si>
  <si>
    <t>Quarterly</t>
  </si>
  <si>
    <t>Annual^(1/4)</t>
  </si>
  <si>
    <t>Monthly</t>
  </si>
  <si>
    <t>Annual^(1/12)</t>
  </si>
  <si>
    <t>OPERATING THRESHOLDS</t>
  </si>
  <si>
    <t>Math Min</t>
  </si>
  <si>
    <t>Operating Floor</t>
  </si>
  <si>
    <t>Target</t>
  </si>
  <si>
    <t>Red Flag</t>
  </si>
  <si>
    <t>Action</t>
  </si>
  <si>
    <t>99.1%</t>
  </si>
  <si>
    <t>2 consecutive months &lt; 99.0%</t>
  </si>
  <si>
    <t>Identify accounts driving loss, CS review within 48hrs</t>
  </si>
  <si>
    <t>97.4%</t>
  </si>
  <si>
    <t>Single quarter &lt; 97.0%</t>
  </si>
  <si>
    <t>TTM will miss 90%, CEO-led reset calls on at-risk accounts</t>
  </si>
  <si>
    <t>90.0%</t>
  </si>
  <si>
    <t>TTM &lt; 90%</t>
  </si>
  <si>
    <t>Fundamental failure: full turnaround on product + CS + pricing</t>
  </si>
  <si>
    <t>WHY THRESHOLDS MUST BE HIGHER WITH MULTI-YEAR CONTRACTS</t>
  </si>
  <si>
    <t>1. Multi-year renewals come in clusters. A batch of 3-year deals renewing in March creates a huge DM spike that month, then flat months after.</t>
  </si>
  <si>
    <t>2. The 65% on annual terms reprice steadily, but the 35% on 3/5-year terms create lumpy revenue events.</t>
  </si>
  <si>
    <t>3. A single large 5-year deal renewing adds a 45% Platinum bump to one quarter, then nothing for 5 years. Monthly DM swings are normal.</t>
  </si>
  <si>
    <t>4. This is why 2 consecutive months below 99% is the red flag, not a single bad month. One month of noise is expected.</t>
  </si>
  <si>
    <t>5. Quarterly DM is more stable because it smooths across 3 months. This is the most reliable short-term indicator.</t>
  </si>
  <si>
    <t>DM SENSITIVITY TABLE</t>
  </si>
  <si>
    <t>Annual DM</t>
  </si>
  <si>
    <t>Annual Loss/$10M</t>
  </si>
  <si>
    <t>Half-Life (Yrs)</t>
  </si>
  <si>
    <t>Verdict</t>
  </si>
  <si>
    <t>Melting fast, unacceptable</t>
  </si>
  <si>
    <t>Below floor</t>
  </si>
  <si>
    <t>FLOOR: max acceptable</t>
  </si>
  <si>
    <t>Healthy</t>
  </si>
  <si>
    <t>Never</t>
  </si>
  <si>
    <t>Breakeven</t>
  </si>
  <si>
    <t>+$500K</t>
  </si>
  <si>
    <t>+$1000K</t>
  </si>
  <si>
    <t>Strong growth</t>
  </si>
  <si>
    <t>+$1499K</t>
  </si>
  <si>
    <t>Cash machine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</si>
</sst>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"/>
    <numFmt numFmtId="165" formatCode="0.0%"/>
    <numFmt numFmtId="166" formatCode="\$#,##0;&quot;($&quot;#,##0\);\-"/>
    <numFmt numFmtId="167" formatCode="&quot;($&quot;#,##0\)"/>
    <numFmt numFmtId="168" formatCode="0.0\x"/>
    <numFmt numFmtId="169" formatCode="\+0.0%"/>
    <numFmt numFmtId="170" formatCode="\$#,##0\K"/>
  </numFmts>
  <fonts count="18">
    <font>
      <sz val="11.0"/>
      <color theme="1"/>
      <name val="Calibri"/>
      <scheme val="minor"/>
    </font>
    <font>
      <b/>
      <sz val="14.0"/>
      <color rgb="FF1F4E79"/>
      <name val="Arial"/>
    </font>
    <font>
      <b/>
      <sz val="10.0"/>
      <color rgb="FFCC0000"/>
      <name val="Arial"/>
    </font>
    <font>
      <i/>
      <sz val="10.0"/>
      <color rgb="FF666666"/>
      <name val="Arial"/>
    </font>
    <font>
      <b/>
      <sz val="12.0"/>
      <color rgb="FF1F4E79"/>
      <name val="Arial"/>
    </font>
    <font>
      <sz val="10.0"/>
      <color rgb="FF000000"/>
      <name val="Arial"/>
    </font>
    <font>
      <b/>
      <sz val="10.0"/>
      <color rgb="FF0000FF"/>
      <name val="Arial"/>
    </font>
    <font>
      <b/>
      <sz val="11.0"/>
      <color rgb="FF1F4E79"/>
      <name val="Arial"/>
    </font>
    <font>
      <i/>
      <sz val="9.0"/>
      <color rgb="FF999999"/>
      <name val="Arial"/>
    </font>
    <font>
      <b/>
      <sz val="10.0"/>
      <color rgb="FF000000"/>
      <name val="Arial"/>
    </font>
    <font>
      <b/>
      <sz val="10.0"/>
      <color rgb="FF7030A0"/>
      <name val="Arial"/>
    </font>
    <font>
      <b/>
      <sz val="10.0"/>
      <color rgb="FFFFFFFF"/>
      <name val="Arial"/>
    </font>
    <font>
      <sz val="10.0"/>
      <color rgb="FF999999"/>
      <name val="Arial"/>
    </font>
    <font>
      <b/>
      <sz val="10.0"/>
      <color rgb="FF1F4E79"/>
      <name val="Arial"/>
    </font>
    <font>
      <sz val="9.0"/>
      <color rgb="FF333333"/>
      <name val="Arial"/>
    </font>
    <font>
      <sz val="10.0"/>
      <color rgb="FF006600"/>
      <name val="Arial"/>
    </font>
    <font>
      <b/>
      <sz val="10.0"/>
      <color rgb="FF006600"/>
      <name val="Arial"/>
    </font>
    <font>
      <b/>
      <sz val="11.0"/>
      <color rgb="FFCC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8D5F5"/>
        <bgColor rgb="FFE8D5F5"/>
      </patternFill>
    </fill>
    <fill>
      <patternFill patternType="solid">
        <fgColor rgb="FFF4CCCC"/>
        <bgColor rgb="FFF4CCCC"/>
      </patternFill>
    </fill>
    <fill>
      <patternFill patternType="solid">
        <fgColor rgb="FF1F4E79"/>
        <bgColor rgb="FF1F4E79"/>
      </patternFill>
    </fill>
    <fill>
      <patternFill patternType="solid">
        <fgColor rgb="FFD9E2F3"/>
        <bgColor rgb="FFD9E2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3">
    <border/>
    <border>
      <left/>
      <right/>
      <top/>
      <bottom/>
    </border>
    <border>
      <bottom style="medium">
        <color rgb="FF333333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164" xfId="0" applyAlignment="1" applyBorder="1" applyFill="1" applyFont="1" applyNumberFormat="1">
      <alignment shrinkToFit="0" vertical="bottom" wrapText="0"/>
    </xf>
    <xf borderId="1" fillId="2" fontId="6" numFmtId="165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3" fontId="10" numFmtId="165" xfId="0" applyAlignment="1" applyBorder="1" applyFill="1" applyFont="1" applyNumberFormat="1">
      <alignment shrinkToFit="0" vertical="bottom" wrapText="0"/>
    </xf>
    <xf borderId="1" fillId="4" fontId="2" numFmtId="165" xfId="0" applyAlignment="1" applyBorder="1" applyFill="1" applyFont="1" applyNumberFormat="1">
      <alignment shrinkToFit="0" vertical="bottom" wrapText="0"/>
    </xf>
    <xf borderId="1" fillId="2" fontId="6" numFmtId="165" xfId="0" applyAlignment="1" applyBorder="1" applyFont="1" applyNumberFormat="1">
      <alignment readingOrder="0" shrinkToFit="0" vertical="bottom" wrapText="0"/>
    </xf>
    <xf borderId="1" fillId="5" fontId="11" numFmtId="0" xfId="0" applyAlignment="1" applyBorder="1" applyFill="1" applyFont="1">
      <alignment horizontal="center" shrinkToFit="0" vertical="bottom" wrapText="1"/>
    </xf>
    <xf borderId="0" fillId="0" fontId="5" numFmtId="164" xfId="0" applyAlignment="1" applyFont="1" applyNumberFormat="1">
      <alignment shrinkToFit="0" vertical="bottom" wrapText="0"/>
    </xf>
    <xf borderId="0" fillId="0" fontId="12" numFmtId="166" xfId="0" applyAlignment="1" applyFont="1" applyNumberFormat="1">
      <alignment shrinkToFit="0" vertical="bottom" wrapText="0"/>
    </xf>
    <xf borderId="0" fillId="0" fontId="5" numFmtId="167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2" fillId="0" fontId="9" numFmtId="166" xfId="0" applyAlignment="1" applyBorder="1" applyFont="1" applyNumberFormat="1">
      <alignment shrinkToFit="0" vertical="bottom" wrapText="0"/>
    </xf>
    <xf borderId="1" fillId="4" fontId="9" numFmtId="164" xfId="0" applyAlignment="1" applyBorder="1" applyFont="1" applyNumberFormat="1">
      <alignment shrinkToFit="0" vertical="bottom" wrapText="0"/>
    </xf>
    <xf borderId="1" fillId="4" fontId="12" numFmtId="0" xfId="0" applyAlignment="1" applyBorder="1" applyFont="1">
      <alignment shrinkToFit="0" vertical="bottom" wrapText="0"/>
    </xf>
    <xf borderId="1" fillId="4" fontId="9" numFmtId="165" xfId="0" applyAlignment="1" applyBorder="1" applyFont="1" applyNumberForma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1" fillId="6" fontId="9" numFmtId="164" xfId="0" applyAlignment="1" applyBorder="1" applyFill="1" applyFont="1" applyNumberFormat="1">
      <alignment shrinkToFit="0" vertical="bottom" wrapText="0"/>
    </xf>
    <xf borderId="1" fillId="6" fontId="5" numFmtId="168" xfId="0" applyAlignment="1" applyBorder="1" applyFont="1" applyNumberFormat="1">
      <alignment shrinkToFit="0" vertical="bottom" wrapText="0"/>
    </xf>
    <xf borderId="1" fillId="6" fontId="9" numFmtId="168" xfId="0" applyAlignment="1" applyBorder="1" applyFont="1" applyNumberFormat="1">
      <alignment shrinkToFit="0" vertical="bottom" wrapText="0"/>
    </xf>
    <xf borderId="1" fillId="7" fontId="9" numFmtId="164" xfId="0" applyAlignment="1" applyBorder="1" applyFill="1" applyFont="1" applyNumberFormat="1">
      <alignment shrinkToFit="0" vertical="bottom" wrapText="0"/>
    </xf>
    <xf borderId="1" fillId="7" fontId="12" numFmtId="0" xfId="0" applyAlignment="1" applyBorder="1" applyFont="1">
      <alignment shrinkToFit="0" vertical="bottom" wrapText="0"/>
    </xf>
    <xf borderId="1" fillId="7" fontId="9" numFmtId="165" xfId="0" applyAlignment="1" applyBorder="1" applyFont="1" applyNumberFormat="1">
      <alignment shrinkToFit="0" vertical="bottom" wrapText="0"/>
    </xf>
    <xf borderId="1" fillId="8" fontId="9" numFmtId="164" xfId="0" applyAlignment="1" applyBorder="1" applyFill="1" applyFont="1" applyNumberFormat="1">
      <alignment shrinkToFit="0" vertical="bottom" wrapText="0"/>
    </xf>
    <xf borderId="1" fillId="8" fontId="12" numFmtId="0" xfId="0" applyAlignment="1" applyBorder="1" applyFont="1">
      <alignment shrinkToFit="0" vertical="bottom" wrapText="0"/>
    </xf>
    <xf borderId="1" fillId="8" fontId="9" numFmtId="165" xfId="0" applyAlignment="1" applyBorder="1" applyFont="1" applyNumberFormat="1">
      <alignment shrinkToFit="0" vertical="bottom" wrapText="0"/>
    </xf>
    <xf borderId="1" fillId="9" fontId="9" numFmtId="164" xfId="0" applyAlignment="1" applyBorder="1" applyFill="1" applyFont="1" applyNumberFormat="1">
      <alignment shrinkToFit="0" vertical="bottom" wrapText="0"/>
    </xf>
    <xf borderId="1" fillId="9" fontId="12" numFmtId="0" xfId="0" applyAlignment="1" applyBorder="1" applyFont="1">
      <alignment shrinkToFit="0" vertical="bottom" wrapText="0"/>
    </xf>
    <xf borderId="1" fillId="9" fontId="9" numFmtId="165" xfId="0" applyAlignment="1" applyBorder="1" applyFont="1" applyNumberForma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1" fillId="6" fontId="9" numFmtId="164" xfId="0" applyAlignment="1" applyBorder="1" applyFont="1" applyNumberFormat="1">
      <alignment horizontal="right" shrinkToFit="0" vertical="bottom" wrapText="0"/>
    </xf>
    <xf borderId="1" fillId="6" fontId="9" numFmtId="168" xfId="0" applyAlignment="1" applyBorder="1" applyFont="1" applyNumberFormat="1">
      <alignment horizontal="right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9" numFmtId="9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15" numFmtId="169" xfId="0" applyAlignment="1" applyFont="1" applyNumberFormat="1">
      <alignment shrinkToFit="0" vertical="bottom" wrapText="0"/>
    </xf>
    <xf borderId="1" fillId="7" fontId="9" numFmtId="9" xfId="0" applyAlignment="1" applyBorder="1" applyFont="1" applyNumberFormat="1">
      <alignment shrinkToFit="0" vertical="bottom" wrapText="0"/>
    </xf>
    <xf borderId="1" fillId="7" fontId="5" numFmtId="165" xfId="0" applyAlignment="1" applyBorder="1" applyFont="1" applyNumberFormat="1">
      <alignment shrinkToFit="0" vertical="bottom" wrapText="0"/>
    </xf>
    <xf borderId="1" fillId="7" fontId="2" numFmtId="165" xfId="0" applyAlignment="1" applyBorder="1" applyFont="1" applyNumberFormat="1">
      <alignment shrinkToFit="0" vertical="bottom" wrapText="0"/>
    </xf>
    <xf borderId="1" fillId="7" fontId="15" numFmtId="169" xfId="0" applyAlignment="1" applyBorder="1" applyFont="1" applyNumberFormat="1">
      <alignment shrinkToFit="0" vertical="bottom" wrapText="0"/>
    </xf>
    <xf borderId="0" fillId="0" fontId="5" numFmtId="9" xfId="0" applyAlignment="1" applyFont="1" applyNumberFormat="1">
      <alignment shrinkToFit="0" vertical="bottom" wrapText="0"/>
    </xf>
    <xf borderId="1" fillId="7" fontId="9" numFmtId="0" xfId="0" applyAlignment="1" applyBorder="1" applyFont="1">
      <alignment shrinkToFit="0" vertical="bottom" wrapText="0"/>
    </xf>
    <xf borderId="1" fillId="7" fontId="5" numFmtId="9" xfId="0" applyAlignment="1" applyBorder="1" applyFont="1" applyNumberFormat="1">
      <alignment shrinkToFit="0" vertical="bottom" wrapText="0"/>
    </xf>
    <xf borderId="1" fillId="7" fontId="14" numFmtId="0" xfId="0" applyAlignment="1" applyBorder="1" applyFon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1" fillId="7" fontId="9" numFmtId="10" xfId="0" applyAlignment="1" applyBorder="1" applyFont="1" applyNumberFormat="1">
      <alignment shrinkToFit="0" vertical="bottom" wrapText="0"/>
    </xf>
    <xf borderId="1" fillId="7" fontId="5" numFmtId="10" xfId="0" applyAlignment="1" applyBorder="1" applyFont="1" applyNumberFormat="1">
      <alignment shrinkToFit="0" vertical="bottom" wrapText="0"/>
    </xf>
    <xf borderId="1" fillId="7" fontId="5" numFmtId="170" xfId="0" applyAlignment="1" applyBorder="1" applyFont="1" applyNumberFormat="1">
      <alignment shrinkToFit="0" vertical="bottom" wrapText="0"/>
    </xf>
    <xf borderId="1" fillId="7" fontId="8" numFmtId="0" xfId="0" applyAlignment="1" applyBorder="1" applyFont="1">
      <alignment shrinkToFit="0" vertical="bottom" wrapText="0"/>
    </xf>
    <xf borderId="0" fillId="0" fontId="9" numFmtId="10" xfId="0" applyAlignment="1" applyFont="1" applyNumberFormat="1">
      <alignment shrinkToFit="0" vertical="bottom" wrapText="0"/>
    </xf>
    <xf borderId="0" fillId="0" fontId="5" numFmtId="10" xfId="0" applyAlignment="1" applyFont="1" applyNumberFormat="1">
      <alignment shrinkToFit="0" vertical="bottom" wrapText="0"/>
    </xf>
    <xf borderId="0" fillId="0" fontId="5" numFmtId="170" xfId="0" applyAlignment="1" applyFont="1" applyNumberFormat="1">
      <alignment shrinkToFit="0" vertical="bottom" wrapText="0"/>
    </xf>
    <xf borderId="1" fillId="8" fontId="6" numFmtId="165" xfId="0" applyAlignment="1" applyBorder="1" applyFont="1" applyNumberFormat="1">
      <alignment shrinkToFit="0" vertical="bottom" wrapText="0"/>
    </xf>
    <xf borderId="1" fillId="7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32.0"/>
    <col customWidth="1" min="2" max="13" width="14.0"/>
    <col customWidth="1" min="14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</row>
    <row r="6">
      <c r="A6" s="5" t="s">
        <v>4</v>
      </c>
      <c r="B6" s="6">
        <v>1.0E7</v>
      </c>
    </row>
    <row r="7">
      <c r="A7" s="5" t="s">
        <v>5</v>
      </c>
      <c r="B7" s="7">
        <v>0.9</v>
      </c>
    </row>
    <row r="9">
      <c r="A9" s="8" t="s">
        <v>6</v>
      </c>
      <c r="C9" s="9" t="s">
        <v>7</v>
      </c>
    </row>
    <row r="10">
      <c r="A10" s="5" t="s">
        <v>8</v>
      </c>
      <c r="B10" s="7">
        <v>0.25</v>
      </c>
    </row>
    <row r="11">
      <c r="A11" s="5" t="s">
        <v>9</v>
      </c>
      <c r="B11" s="7">
        <v>0.45</v>
      </c>
    </row>
    <row r="12">
      <c r="A12" s="5" t="s">
        <v>10</v>
      </c>
      <c r="B12" s="7">
        <v>0.25</v>
      </c>
      <c r="C12" s="9" t="s">
        <v>11</v>
      </c>
    </row>
    <row r="13">
      <c r="A13" s="10" t="s">
        <v>12</v>
      </c>
      <c r="B13" s="11">
        <f>1-$B$12</f>
        <v>0.75</v>
      </c>
      <c r="C13" s="9" t="s">
        <v>13</v>
      </c>
    </row>
    <row r="14">
      <c r="A14" s="10" t="s">
        <v>14</v>
      </c>
      <c r="B14" s="11">
        <f>$B$13*$B$10+$B$12*$B$11</f>
        <v>0.3</v>
      </c>
      <c r="C14" s="9" t="s">
        <v>15</v>
      </c>
    </row>
    <row r="16">
      <c r="A16" s="8" t="s">
        <v>16</v>
      </c>
      <c r="C16" s="9" t="s">
        <v>17</v>
      </c>
    </row>
    <row r="17">
      <c r="A17" s="5" t="s">
        <v>18</v>
      </c>
      <c r="B17" s="7">
        <v>0.65</v>
      </c>
      <c r="C17" s="9" t="s">
        <v>19</v>
      </c>
    </row>
    <row r="18">
      <c r="A18" s="5" t="s">
        <v>20</v>
      </c>
      <c r="B18" s="7">
        <v>0.2</v>
      </c>
      <c r="C18" s="9" t="s">
        <v>21</v>
      </c>
    </row>
    <row r="19">
      <c r="A19" s="5" t="s">
        <v>22</v>
      </c>
      <c r="B19" s="7">
        <v>0.15</v>
      </c>
      <c r="C19" s="9" t="s">
        <v>23</v>
      </c>
    </row>
    <row r="20">
      <c r="A20" s="10" t="s">
        <v>24</v>
      </c>
      <c r="B20" s="11">
        <f>$B$17+$B$18+$B$19</f>
        <v>1</v>
      </c>
    </row>
    <row r="21" ht="15.75" customHeight="1">
      <c r="A21" s="10" t="s">
        <v>25</v>
      </c>
      <c r="B21" s="11">
        <f>$B$17*1+$B$18/3+$B$19/5</f>
        <v>0.7466666667</v>
      </c>
      <c r="C21" s="9" t="s">
        <v>26</v>
      </c>
    </row>
    <row r="22" ht="15.75" customHeight="1">
      <c r="A22" s="10" t="s">
        <v>27</v>
      </c>
      <c r="B22" s="11">
        <f>$B$14*$B$21</f>
        <v>0.224</v>
      </c>
      <c r="C22" s="9" t="s">
        <v>28</v>
      </c>
    </row>
    <row r="23" ht="15.75" customHeight="1"/>
    <row r="24" ht="15.75" customHeight="1">
      <c r="A24" s="10" t="s">
        <v>29</v>
      </c>
      <c r="B24" s="12">
        <f>1-($B$7-0.06)/(1+$B$22)</f>
        <v>0.3137254902</v>
      </c>
      <c r="C24" s="9" t="s">
        <v>30</v>
      </c>
    </row>
    <row r="25" ht="15.75" customHeight="1"/>
    <row r="26" ht="15.75" customHeight="1">
      <c r="A26" s="8" t="s">
        <v>31</v>
      </c>
      <c r="C26" s="9" t="s">
        <v>32</v>
      </c>
    </row>
    <row r="27" ht="15.75" customHeight="1">
      <c r="A27" s="5" t="s">
        <v>33</v>
      </c>
      <c r="B27" s="13">
        <v>0.366</v>
      </c>
    </row>
    <row r="28" ht="15.75" customHeight="1">
      <c r="A28" s="5" t="s">
        <v>34</v>
      </c>
      <c r="B28" s="7">
        <v>0.02</v>
      </c>
    </row>
    <row r="29" ht="15.75" customHeight="1">
      <c r="A29" s="5" t="s">
        <v>35</v>
      </c>
      <c r="B29" s="7">
        <v>0.01</v>
      </c>
    </row>
    <row r="30" ht="15.75" customHeight="1">
      <c r="A30" s="5" t="s">
        <v>36</v>
      </c>
      <c r="B30" s="7">
        <v>0.01</v>
      </c>
    </row>
    <row r="31" ht="15.75" customHeight="1"/>
    <row r="32" ht="15.75" customHeight="1">
      <c r="A32" s="14"/>
      <c r="B32" s="14"/>
      <c r="C32" s="14" t="s">
        <v>37</v>
      </c>
      <c r="D32" s="14" t="s">
        <v>38</v>
      </c>
      <c r="E32" s="14" t="s">
        <v>39</v>
      </c>
      <c r="F32" s="14" t="s">
        <v>40</v>
      </c>
      <c r="G32" s="14" t="s">
        <v>41</v>
      </c>
      <c r="H32" s="14" t="s">
        <v>42</v>
      </c>
      <c r="I32" s="14" t="s">
        <v>43</v>
      </c>
      <c r="J32" s="14" t="s">
        <v>44</v>
      </c>
      <c r="K32" s="14" t="s">
        <v>45</v>
      </c>
      <c r="L32" s="14" t="s">
        <v>46</v>
      </c>
      <c r="M32" s="14" t="s">
        <v>47</v>
      </c>
    </row>
    <row r="33" ht="15.75" customHeight="1">
      <c r="A33" s="5" t="s">
        <v>48</v>
      </c>
      <c r="C33" s="15">
        <f>$B$6</f>
        <v>10000000</v>
      </c>
      <c r="D33" s="15">
        <f t="shared" ref="D33:M33" si="1">C42</f>
        <v>10000000</v>
      </c>
      <c r="E33" s="15">
        <f t="shared" si="1"/>
        <v>8160160</v>
      </c>
      <c r="F33" s="15">
        <f t="shared" si="1"/>
        <v>6658821.123</v>
      </c>
      <c r="G33" s="15">
        <f t="shared" si="1"/>
        <v>5433704.577</v>
      </c>
      <c r="H33" s="15">
        <f t="shared" si="1"/>
        <v>4433989.874</v>
      </c>
      <c r="I33" s="15">
        <f t="shared" si="1"/>
        <v>3618206.681</v>
      </c>
      <c r="J33" s="15">
        <f t="shared" si="1"/>
        <v>2952514.543</v>
      </c>
      <c r="K33" s="15">
        <f t="shared" si="1"/>
        <v>2409299.107</v>
      </c>
      <c r="L33" s="15">
        <f t="shared" si="1"/>
        <v>1966026.62</v>
      </c>
      <c r="M33" s="15">
        <f t="shared" si="1"/>
        <v>1604309.179</v>
      </c>
    </row>
    <row r="34" ht="15.75" customHeight="1">
      <c r="A34" s="5" t="s">
        <v>49</v>
      </c>
      <c r="C34" s="16">
        <v>0.0</v>
      </c>
      <c r="D34" s="17">
        <f t="shared" ref="D34:M34" si="2">-D33*$B$27</f>
        <v>-3660000</v>
      </c>
      <c r="E34" s="17">
        <f t="shared" si="2"/>
        <v>-2986618.56</v>
      </c>
      <c r="F34" s="17">
        <f t="shared" si="2"/>
        <v>-2437128.531</v>
      </c>
      <c r="G34" s="17">
        <f t="shared" si="2"/>
        <v>-1988735.875</v>
      </c>
      <c r="H34" s="17">
        <f t="shared" si="2"/>
        <v>-1622840.294</v>
      </c>
      <c r="I34" s="17">
        <f t="shared" si="2"/>
        <v>-1324263.645</v>
      </c>
      <c r="J34" s="17">
        <f t="shared" si="2"/>
        <v>-1080620.323</v>
      </c>
      <c r="K34" s="17">
        <f t="shared" si="2"/>
        <v>-881803.4733</v>
      </c>
      <c r="L34" s="17">
        <f t="shared" si="2"/>
        <v>-719565.7431</v>
      </c>
      <c r="M34" s="17">
        <f t="shared" si="2"/>
        <v>-587177.1594</v>
      </c>
    </row>
    <row r="35" ht="15.75" customHeight="1">
      <c r="A35" s="5" t="s">
        <v>50</v>
      </c>
      <c r="C35" s="16">
        <v>0.0</v>
      </c>
      <c r="D35" s="15">
        <f t="shared" ref="D35:M35" si="3">D36+D37</f>
        <v>1420160</v>
      </c>
      <c r="E35" s="15">
        <f t="shared" si="3"/>
        <v>1158873.283</v>
      </c>
      <c r="F35" s="15">
        <f t="shared" si="3"/>
        <v>945659.1405</v>
      </c>
      <c r="G35" s="15">
        <f t="shared" si="3"/>
        <v>771672.9892</v>
      </c>
      <c r="H35" s="15">
        <f t="shared" si="3"/>
        <v>629697.506</v>
      </c>
      <c r="I35" s="15">
        <f t="shared" si="3"/>
        <v>513843.24</v>
      </c>
      <c r="J35" s="15">
        <f t="shared" si="3"/>
        <v>419304.3054</v>
      </c>
      <c r="K35" s="15">
        <f t="shared" si="3"/>
        <v>342159.022</v>
      </c>
      <c r="L35" s="15">
        <f t="shared" si="3"/>
        <v>279207.2365</v>
      </c>
      <c r="M35" s="15">
        <f t="shared" si="3"/>
        <v>227837.5723</v>
      </c>
    </row>
    <row r="36" ht="15.75" customHeight="1">
      <c r="A36" s="3" t="s">
        <v>51</v>
      </c>
      <c r="C36" s="16">
        <v>0.0</v>
      </c>
      <c r="D36" s="18">
        <f t="shared" ref="D36:M36" si="4">(D33+D34)*$B$13*$B$10*$B$21</f>
        <v>887600</v>
      </c>
      <c r="E36" s="18">
        <f t="shared" si="4"/>
        <v>724295.8016</v>
      </c>
      <c r="F36" s="18">
        <f t="shared" si="4"/>
        <v>591036.9628</v>
      </c>
      <c r="G36" s="18">
        <f t="shared" si="4"/>
        <v>482295.6183</v>
      </c>
      <c r="H36" s="18">
        <f t="shared" si="4"/>
        <v>393560.9412</v>
      </c>
      <c r="I36" s="18">
        <f t="shared" si="4"/>
        <v>321152.025</v>
      </c>
      <c r="J36" s="18">
        <f t="shared" si="4"/>
        <v>262065.1909</v>
      </c>
      <c r="K36" s="18">
        <f t="shared" si="4"/>
        <v>213849.3888</v>
      </c>
      <c r="L36" s="18">
        <f t="shared" si="4"/>
        <v>174504.5228</v>
      </c>
      <c r="M36" s="18">
        <f t="shared" si="4"/>
        <v>142398.4827</v>
      </c>
    </row>
    <row r="37" ht="15.75" customHeight="1">
      <c r="A37" s="3" t="s">
        <v>52</v>
      </c>
      <c r="C37" s="16">
        <v>0.0</v>
      </c>
      <c r="D37" s="18">
        <f t="shared" ref="D37:M37" si="5">(D33+D34)*$B$12*$B$11*$B$21</f>
        <v>532560</v>
      </c>
      <c r="E37" s="18">
        <f t="shared" si="5"/>
        <v>434577.481</v>
      </c>
      <c r="F37" s="18">
        <f t="shared" si="5"/>
        <v>354622.1777</v>
      </c>
      <c r="G37" s="18">
        <f t="shared" si="5"/>
        <v>289377.371</v>
      </c>
      <c r="H37" s="18">
        <f t="shared" si="5"/>
        <v>236136.5647</v>
      </c>
      <c r="I37" s="18">
        <f t="shared" si="5"/>
        <v>192691.215</v>
      </c>
      <c r="J37" s="18">
        <f t="shared" si="5"/>
        <v>157239.1145</v>
      </c>
      <c r="K37" s="18">
        <f t="shared" si="5"/>
        <v>128309.6333</v>
      </c>
      <c r="L37" s="18">
        <f t="shared" si="5"/>
        <v>104702.7137</v>
      </c>
      <c r="M37" s="18">
        <f t="shared" si="5"/>
        <v>85439.08962</v>
      </c>
    </row>
    <row r="38" ht="15.75" customHeight="1">
      <c r="A38" s="5" t="s">
        <v>53</v>
      </c>
      <c r="C38" s="16">
        <v>0.0</v>
      </c>
      <c r="D38" s="15">
        <f t="shared" ref="D38:M38" si="6">D33*$B$28</f>
        <v>200000</v>
      </c>
      <c r="E38" s="15">
        <f t="shared" si="6"/>
        <v>163203.2</v>
      </c>
      <c r="F38" s="15">
        <f t="shared" si="6"/>
        <v>133176.4225</v>
      </c>
      <c r="G38" s="15">
        <f t="shared" si="6"/>
        <v>108674.0915</v>
      </c>
      <c r="H38" s="15">
        <f t="shared" si="6"/>
        <v>88679.79748</v>
      </c>
      <c r="I38" s="15">
        <f t="shared" si="6"/>
        <v>72364.13362</v>
      </c>
      <c r="J38" s="15">
        <f t="shared" si="6"/>
        <v>59050.29086</v>
      </c>
      <c r="K38" s="15">
        <f t="shared" si="6"/>
        <v>48185.98215</v>
      </c>
      <c r="L38" s="15">
        <f t="shared" si="6"/>
        <v>39320.53241</v>
      </c>
      <c r="M38" s="15">
        <f t="shared" si="6"/>
        <v>32086.18357</v>
      </c>
    </row>
    <row r="39" ht="15.75" customHeight="1">
      <c r="A39" s="5" t="s">
        <v>54</v>
      </c>
      <c r="C39" s="16">
        <v>0.0</v>
      </c>
      <c r="D39" s="15">
        <f t="shared" ref="D39:M39" si="7">D33*$B$29</f>
        <v>100000</v>
      </c>
      <c r="E39" s="15">
        <f t="shared" si="7"/>
        <v>81601.6</v>
      </c>
      <c r="F39" s="15">
        <f t="shared" si="7"/>
        <v>66588.21123</v>
      </c>
      <c r="G39" s="15">
        <f t="shared" si="7"/>
        <v>54337.04577</v>
      </c>
      <c r="H39" s="15">
        <f t="shared" si="7"/>
        <v>44339.89874</v>
      </c>
      <c r="I39" s="15">
        <f t="shared" si="7"/>
        <v>36182.06681</v>
      </c>
      <c r="J39" s="15">
        <f t="shared" si="7"/>
        <v>29525.14543</v>
      </c>
      <c r="K39" s="15">
        <f t="shared" si="7"/>
        <v>24092.99107</v>
      </c>
      <c r="L39" s="15">
        <f t="shared" si="7"/>
        <v>19660.2662</v>
      </c>
      <c r="M39" s="15">
        <f t="shared" si="7"/>
        <v>16043.09179</v>
      </c>
    </row>
    <row r="40" ht="15.75" customHeight="1">
      <c r="A40" s="5" t="s">
        <v>55</v>
      </c>
      <c r="C40" s="16">
        <v>0.0</v>
      </c>
      <c r="D40" s="15">
        <f t="shared" ref="D40:M40" si="8">D33*$B$30</f>
        <v>100000</v>
      </c>
      <c r="E40" s="15">
        <f t="shared" si="8"/>
        <v>81601.6</v>
      </c>
      <c r="F40" s="15">
        <f t="shared" si="8"/>
        <v>66588.21123</v>
      </c>
      <c r="G40" s="15">
        <f t="shared" si="8"/>
        <v>54337.04577</v>
      </c>
      <c r="H40" s="15">
        <f t="shared" si="8"/>
        <v>44339.89874</v>
      </c>
      <c r="I40" s="15">
        <f t="shared" si="8"/>
        <v>36182.06681</v>
      </c>
      <c r="J40" s="15">
        <f t="shared" si="8"/>
        <v>29525.14543</v>
      </c>
      <c r="K40" s="15">
        <f t="shared" si="8"/>
        <v>24092.99107</v>
      </c>
      <c r="L40" s="15">
        <f t="shared" si="8"/>
        <v>19660.2662</v>
      </c>
      <c r="M40" s="15">
        <f t="shared" si="8"/>
        <v>16043.09179</v>
      </c>
    </row>
    <row r="41" ht="15.75" customHeight="1">
      <c r="A41" s="10" t="s">
        <v>56</v>
      </c>
      <c r="C41" s="16">
        <v>0.0</v>
      </c>
      <c r="D41" s="19">
        <f t="shared" ref="D41:M41" si="9">D34+D35+D38+D39+D40</f>
        <v>-1839840</v>
      </c>
      <c r="E41" s="19">
        <f t="shared" si="9"/>
        <v>-1501338.877</v>
      </c>
      <c r="F41" s="19">
        <f t="shared" si="9"/>
        <v>-1225116.545</v>
      </c>
      <c r="G41" s="19">
        <f t="shared" si="9"/>
        <v>-999714.7029</v>
      </c>
      <c r="H41" s="19">
        <f t="shared" si="9"/>
        <v>-815783.193</v>
      </c>
      <c r="I41" s="19">
        <f t="shared" si="9"/>
        <v>-665692.138</v>
      </c>
      <c r="J41" s="19">
        <f t="shared" si="9"/>
        <v>-543215.4357</v>
      </c>
      <c r="K41" s="19">
        <f t="shared" si="9"/>
        <v>-443272.487</v>
      </c>
      <c r="L41" s="19">
        <f t="shared" si="9"/>
        <v>-361717.4417</v>
      </c>
      <c r="M41" s="19">
        <f t="shared" si="9"/>
        <v>-295167.2199</v>
      </c>
    </row>
    <row r="42" ht="15.75" customHeight="1">
      <c r="A42" s="10" t="s">
        <v>57</v>
      </c>
      <c r="C42" s="20">
        <f>$B$6</f>
        <v>10000000</v>
      </c>
      <c r="D42" s="20">
        <f t="shared" ref="D42:M42" si="10">D33+D41</f>
        <v>8160160</v>
      </c>
      <c r="E42" s="20">
        <f t="shared" si="10"/>
        <v>6658821.123</v>
      </c>
      <c r="F42" s="20">
        <f t="shared" si="10"/>
        <v>5433704.577</v>
      </c>
      <c r="G42" s="20">
        <f t="shared" si="10"/>
        <v>4433989.874</v>
      </c>
      <c r="H42" s="20">
        <f t="shared" si="10"/>
        <v>3618206.681</v>
      </c>
      <c r="I42" s="20">
        <f t="shared" si="10"/>
        <v>2952514.543</v>
      </c>
      <c r="J42" s="20">
        <f t="shared" si="10"/>
        <v>2409299.107</v>
      </c>
      <c r="K42" s="20">
        <f t="shared" si="10"/>
        <v>1966026.62</v>
      </c>
      <c r="L42" s="20">
        <f t="shared" si="10"/>
        <v>1604309.179</v>
      </c>
      <c r="M42" s="20">
        <f t="shared" si="10"/>
        <v>1309141.959</v>
      </c>
    </row>
    <row r="43" ht="15.75" customHeight="1">
      <c r="A43" s="10" t="s">
        <v>58</v>
      </c>
      <c r="C43" s="21" t="s">
        <v>59</v>
      </c>
      <c r="D43" s="22">
        <f t="shared" ref="D43:M43" si="11">IF(D33=0,0,D42/D33)</f>
        <v>0.816016</v>
      </c>
      <c r="E43" s="22">
        <f t="shared" si="11"/>
        <v>0.816016</v>
      </c>
      <c r="F43" s="22">
        <f t="shared" si="11"/>
        <v>0.816016</v>
      </c>
      <c r="G43" s="22">
        <f t="shared" si="11"/>
        <v>0.816016</v>
      </c>
      <c r="H43" s="22">
        <f t="shared" si="11"/>
        <v>0.816016</v>
      </c>
      <c r="I43" s="22">
        <f t="shared" si="11"/>
        <v>0.816016</v>
      </c>
      <c r="J43" s="22">
        <f t="shared" si="11"/>
        <v>0.816016</v>
      </c>
      <c r="K43" s="22">
        <f t="shared" si="11"/>
        <v>0.816016</v>
      </c>
      <c r="L43" s="22">
        <f t="shared" si="11"/>
        <v>0.816016</v>
      </c>
      <c r="M43" s="22">
        <f t="shared" si="11"/>
        <v>0.816016</v>
      </c>
    </row>
    <row r="44" ht="15.75" customHeight="1">
      <c r="A44" s="10" t="s">
        <v>60</v>
      </c>
      <c r="D44" s="23" t="str">
        <f t="shared" ref="D44:M44" si="12">IF(D43&gt;=$B$7,"PASS","FAIL")</f>
        <v>FAIL</v>
      </c>
      <c r="E44" s="23" t="str">
        <f t="shared" si="12"/>
        <v>FAIL</v>
      </c>
      <c r="F44" s="23" t="str">
        <f t="shared" si="12"/>
        <v>FAIL</v>
      </c>
      <c r="G44" s="23" t="str">
        <f t="shared" si="12"/>
        <v>FAIL</v>
      </c>
      <c r="H44" s="23" t="str">
        <f t="shared" si="12"/>
        <v>FAIL</v>
      </c>
      <c r="I44" s="23" t="str">
        <f t="shared" si="12"/>
        <v>FAIL</v>
      </c>
      <c r="J44" s="23" t="str">
        <f t="shared" si="12"/>
        <v>FAIL</v>
      </c>
      <c r="K44" s="23" t="str">
        <f t="shared" si="12"/>
        <v>FAIL</v>
      </c>
      <c r="L44" s="23" t="str">
        <f t="shared" si="12"/>
        <v>FAIL</v>
      </c>
      <c r="M44" s="23" t="str">
        <f t="shared" si="12"/>
        <v>FAIL</v>
      </c>
    </row>
    <row r="45" ht="15.75" customHeight="1">
      <c r="A45" s="10" t="s">
        <v>61</v>
      </c>
      <c r="C45" s="24">
        <f>$B$6</f>
        <v>10000000</v>
      </c>
      <c r="D45" s="24">
        <f t="shared" ref="D45:M45" si="13">C45+D42</f>
        <v>18160160</v>
      </c>
      <c r="E45" s="24">
        <f t="shared" si="13"/>
        <v>24818981.12</v>
      </c>
      <c r="F45" s="24">
        <f t="shared" si="13"/>
        <v>30252685.7</v>
      </c>
      <c r="G45" s="24">
        <f t="shared" si="13"/>
        <v>34686675.57</v>
      </c>
      <c r="H45" s="24">
        <f t="shared" si="13"/>
        <v>38304882.26</v>
      </c>
      <c r="I45" s="24">
        <f t="shared" si="13"/>
        <v>41257396.8</v>
      </c>
      <c r="J45" s="24">
        <f t="shared" si="13"/>
        <v>43666695.91</v>
      </c>
      <c r="K45" s="24">
        <f t="shared" si="13"/>
        <v>45632722.53</v>
      </c>
      <c r="L45" s="24">
        <f t="shared" si="13"/>
        <v>47237031.7</v>
      </c>
      <c r="M45" s="24">
        <f t="shared" si="13"/>
        <v>48546173.66</v>
      </c>
    </row>
    <row r="46" ht="15.75" customHeight="1">
      <c r="A46" s="10" t="s">
        <v>62</v>
      </c>
      <c r="C46" s="25">
        <v>1.0</v>
      </c>
      <c r="D46" s="26">
        <f t="shared" ref="D46:M46" si="14">D45/$B$6</f>
        <v>1.816016</v>
      </c>
      <c r="E46" s="26">
        <f t="shared" si="14"/>
        <v>2.481898112</v>
      </c>
      <c r="F46" s="26">
        <f t="shared" si="14"/>
        <v>3.02526857</v>
      </c>
      <c r="G46" s="26">
        <f t="shared" si="14"/>
        <v>3.468667557</v>
      </c>
      <c r="H46" s="26">
        <f t="shared" si="14"/>
        <v>3.830488226</v>
      </c>
      <c r="I46" s="26">
        <f t="shared" si="14"/>
        <v>4.12573968</v>
      </c>
      <c r="J46" s="26">
        <f t="shared" si="14"/>
        <v>4.366669591</v>
      </c>
      <c r="K46" s="26">
        <f t="shared" si="14"/>
        <v>4.563272253</v>
      </c>
      <c r="L46" s="26">
        <f t="shared" si="14"/>
        <v>4.72370317</v>
      </c>
      <c r="M46" s="26">
        <f t="shared" si="14"/>
        <v>4.854617366</v>
      </c>
    </row>
    <row r="47" ht="15.75" customHeight="1"/>
    <row r="48" ht="15.75" customHeight="1"/>
    <row r="49" ht="15.75" customHeight="1">
      <c r="A49" s="8" t="s">
        <v>63</v>
      </c>
      <c r="C49" s="9" t="s">
        <v>64</v>
      </c>
    </row>
    <row r="50" ht="15.75" customHeight="1">
      <c r="A50" s="5" t="s">
        <v>33</v>
      </c>
      <c r="B50" s="13">
        <v>0.265</v>
      </c>
    </row>
    <row r="51" ht="15.75" customHeight="1">
      <c r="A51" s="5" t="s">
        <v>34</v>
      </c>
      <c r="B51" s="13">
        <v>0.0</v>
      </c>
    </row>
    <row r="52" ht="15.75" customHeight="1">
      <c r="A52" s="5" t="s">
        <v>35</v>
      </c>
      <c r="B52" s="13">
        <v>0.0</v>
      </c>
    </row>
    <row r="53" ht="15.75" customHeight="1">
      <c r="A53" s="5" t="s">
        <v>36</v>
      </c>
      <c r="B53" s="13">
        <v>0.0</v>
      </c>
    </row>
    <row r="54" ht="15.75" customHeight="1"/>
    <row r="55" ht="15.75" customHeight="1">
      <c r="A55" s="14"/>
      <c r="B55" s="14"/>
      <c r="C55" s="14" t="s">
        <v>37</v>
      </c>
      <c r="D55" s="14" t="s">
        <v>38</v>
      </c>
      <c r="E55" s="14" t="s">
        <v>39</v>
      </c>
      <c r="F55" s="14" t="s">
        <v>40</v>
      </c>
      <c r="G55" s="14" t="s">
        <v>41</v>
      </c>
      <c r="H55" s="14" t="s">
        <v>42</v>
      </c>
      <c r="I55" s="14" t="s">
        <v>43</v>
      </c>
      <c r="J55" s="14" t="s">
        <v>44</v>
      </c>
      <c r="K55" s="14" t="s">
        <v>45</v>
      </c>
      <c r="L55" s="14" t="s">
        <v>46</v>
      </c>
      <c r="M55" s="14" t="s">
        <v>47</v>
      </c>
    </row>
    <row r="56" ht="15.75" customHeight="1">
      <c r="A56" s="5" t="s">
        <v>48</v>
      </c>
      <c r="C56" s="15">
        <f>$B$6</f>
        <v>10000000</v>
      </c>
      <c r="D56" s="15">
        <f t="shared" ref="D56:M56" si="15">C65</f>
        <v>10000000</v>
      </c>
      <c r="E56" s="15">
        <f t="shared" si="15"/>
        <v>8996400</v>
      </c>
      <c r="F56" s="15">
        <f t="shared" si="15"/>
        <v>8093521.296</v>
      </c>
      <c r="G56" s="15">
        <f t="shared" si="15"/>
        <v>7281255.499</v>
      </c>
      <c r="H56" s="15">
        <f t="shared" si="15"/>
        <v>6550508.697</v>
      </c>
      <c r="I56" s="15">
        <f t="shared" si="15"/>
        <v>5893099.644</v>
      </c>
      <c r="J56" s="15">
        <f t="shared" si="15"/>
        <v>5301668.164</v>
      </c>
      <c r="K56" s="15">
        <f t="shared" si="15"/>
        <v>4769592.747</v>
      </c>
      <c r="L56" s="15">
        <f t="shared" si="15"/>
        <v>4290916.419</v>
      </c>
      <c r="M56" s="15">
        <f t="shared" si="15"/>
        <v>3860280.047</v>
      </c>
    </row>
    <row r="57" ht="15.75" customHeight="1">
      <c r="A57" s="5" t="s">
        <v>49</v>
      </c>
      <c r="C57" s="16">
        <v>0.0</v>
      </c>
      <c r="D57" s="17">
        <f t="shared" ref="D57:M57" si="16">-D56*$B$50</f>
        <v>-2650000</v>
      </c>
      <c r="E57" s="17">
        <f t="shared" si="16"/>
        <v>-2384046</v>
      </c>
      <c r="F57" s="17">
        <f t="shared" si="16"/>
        <v>-2144783.143</v>
      </c>
      <c r="G57" s="17">
        <f t="shared" si="16"/>
        <v>-1929532.707</v>
      </c>
      <c r="H57" s="17">
        <f t="shared" si="16"/>
        <v>-1735884.805</v>
      </c>
      <c r="I57" s="17">
        <f t="shared" si="16"/>
        <v>-1561671.406</v>
      </c>
      <c r="J57" s="17">
        <f t="shared" si="16"/>
        <v>-1404942.063</v>
      </c>
      <c r="K57" s="17">
        <f t="shared" si="16"/>
        <v>-1263942.078</v>
      </c>
      <c r="L57" s="17">
        <f t="shared" si="16"/>
        <v>-1137092.851</v>
      </c>
      <c r="M57" s="17">
        <f t="shared" si="16"/>
        <v>-1022974.212</v>
      </c>
    </row>
    <row r="58" ht="15.75" customHeight="1">
      <c r="A58" s="5" t="s">
        <v>50</v>
      </c>
      <c r="C58" s="16">
        <v>0.0</v>
      </c>
      <c r="D58" s="15">
        <f t="shared" ref="D58:M58" si="17">D59+D60</f>
        <v>1646400</v>
      </c>
      <c r="E58" s="15">
        <f t="shared" si="17"/>
        <v>1481167.296</v>
      </c>
      <c r="F58" s="15">
        <f t="shared" si="17"/>
        <v>1332517.346</v>
      </c>
      <c r="G58" s="15">
        <f t="shared" si="17"/>
        <v>1198785.905</v>
      </c>
      <c r="H58" s="15">
        <f t="shared" si="17"/>
        <v>1078475.752</v>
      </c>
      <c r="I58" s="15">
        <f t="shared" si="17"/>
        <v>970239.9254</v>
      </c>
      <c r="J58" s="15">
        <f t="shared" si="17"/>
        <v>872866.6465</v>
      </c>
      <c r="K58" s="15">
        <f t="shared" si="17"/>
        <v>785265.7498</v>
      </c>
      <c r="L58" s="15">
        <f t="shared" si="17"/>
        <v>706456.4792</v>
      </c>
      <c r="M58" s="15">
        <f t="shared" si="17"/>
        <v>635556.5069</v>
      </c>
    </row>
    <row r="59" ht="15.75" customHeight="1">
      <c r="A59" s="3" t="s">
        <v>51</v>
      </c>
      <c r="C59" s="16">
        <v>0.0</v>
      </c>
      <c r="D59" s="18">
        <f t="shared" ref="D59:M59" si="18">(D56+D57)*$B$13*$B$10*$B$21</f>
        <v>1029000</v>
      </c>
      <c r="E59" s="18">
        <f t="shared" si="18"/>
        <v>925729.56</v>
      </c>
      <c r="F59" s="18">
        <f t="shared" si="18"/>
        <v>832823.3414</v>
      </c>
      <c r="G59" s="18">
        <f t="shared" si="18"/>
        <v>749241.1908</v>
      </c>
      <c r="H59" s="18">
        <f t="shared" si="18"/>
        <v>674047.3449</v>
      </c>
      <c r="I59" s="18">
        <f t="shared" si="18"/>
        <v>606399.9534</v>
      </c>
      <c r="J59" s="18">
        <f t="shared" si="18"/>
        <v>545541.6541</v>
      </c>
      <c r="K59" s="18">
        <f t="shared" si="18"/>
        <v>490791.0937</v>
      </c>
      <c r="L59" s="18">
        <f t="shared" si="18"/>
        <v>441535.2995</v>
      </c>
      <c r="M59" s="18">
        <f t="shared" si="18"/>
        <v>397222.8168</v>
      </c>
    </row>
    <row r="60" ht="15.75" customHeight="1">
      <c r="A60" s="3" t="s">
        <v>52</v>
      </c>
      <c r="C60" s="16">
        <v>0.0</v>
      </c>
      <c r="D60" s="18">
        <f t="shared" ref="D60:M60" si="19">(D56+D57)*$B$12*$B$11*$B$21</f>
        <v>617400</v>
      </c>
      <c r="E60" s="18">
        <f t="shared" si="19"/>
        <v>555437.736</v>
      </c>
      <c r="F60" s="18">
        <f t="shared" si="19"/>
        <v>499694.0048</v>
      </c>
      <c r="G60" s="18">
        <f t="shared" si="19"/>
        <v>449544.7145</v>
      </c>
      <c r="H60" s="18">
        <f t="shared" si="19"/>
        <v>404428.4069</v>
      </c>
      <c r="I60" s="18">
        <f t="shared" si="19"/>
        <v>363839.972</v>
      </c>
      <c r="J60" s="18">
        <f t="shared" si="19"/>
        <v>327324.9924</v>
      </c>
      <c r="K60" s="18">
        <f t="shared" si="19"/>
        <v>294474.6562</v>
      </c>
      <c r="L60" s="18">
        <f t="shared" si="19"/>
        <v>264921.1797</v>
      </c>
      <c r="M60" s="18">
        <f t="shared" si="19"/>
        <v>238333.6901</v>
      </c>
    </row>
    <row r="61" ht="15.75" customHeight="1">
      <c r="A61" s="5" t="s">
        <v>53</v>
      </c>
      <c r="C61" s="16">
        <v>0.0</v>
      </c>
      <c r="D61" s="15">
        <f t="shared" ref="D61:M61" si="20">D56*$B$51</f>
        <v>0</v>
      </c>
      <c r="E61" s="15">
        <f t="shared" si="20"/>
        <v>0</v>
      </c>
      <c r="F61" s="15">
        <f t="shared" si="20"/>
        <v>0</v>
      </c>
      <c r="G61" s="15">
        <f t="shared" si="20"/>
        <v>0</v>
      </c>
      <c r="H61" s="15">
        <f t="shared" si="20"/>
        <v>0</v>
      </c>
      <c r="I61" s="15">
        <f t="shared" si="20"/>
        <v>0</v>
      </c>
      <c r="J61" s="15">
        <f t="shared" si="20"/>
        <v>0</v>
      </c>
      <c r="K61" s="15">
        <f t="shared" si="20"/>
        <v>0</v>
      </c>
      <c r="L61" s="15">
        <f t="shared" si="20"/>
        <v>0</v>
      </c>
      <c r="M61" s="15">
        <f t="shared" si="20"/>
        <v>0</v>
      </c>
    </row>
    <row r="62" ht="15.75" customHeight="1">
      <c r="A62" s="5" t="s">
        <v>54</v>
      </c>
      <c r="C62" s="16">
        <v>0.0</v>
      </c>
      <c r="D62" s="15">
        <f t="shared" ref="D62:M62" si="21">D56*$B$52</f>
        <v>0</v>
      </c>
      <c r="E62" s="15">
        <f t="shared" si="21"/>
        <v>0</v>
      </c>
      <c r="F62" s="15">
        <f t="shared" si="21"/>
        <v>0</v>
      </c>
      <c r="G62" s="15">
        <f t="shared" si="21"/>
        <v>0</v>
      </c>
      <c r="H62" s="15">
        <f t="shared" si="21"/>
        <v>0</v>
      </c>
      <c r="I62" s="15">
        <f t="shared" si="21"/>
        <v>0</v>
      </c>
      <c r="J62" s="15">
        <f t="shared" si="21"/>
        <v>0</v>
      </c>
      <c r="K62" s="15">
        <f t="shared" si="21"/>
        <v>0</v>
      </c>
      <c r="L62" s="15">
        <f t="shared" si="21"/>
        <v>0</v>
      </c>
      <c r="M62" s="15">
        <f t="shared" si="21"/>
        <v>0</v>
      </c>
    </row>
    <row r="63" ht="15.75" customHeight="1">
      <c r="A63" s="5" t="s">
        <v>55</v>
      </c>
      <c r="C63" s="16">
        <v>0.0</v>
      </c>
      <c r="D63" s="15">
        <f t="shared" ref="D63:M63" si="22">D56*$B$53</f>
        <v>0</v>
      </c>
      <c r="E63" s="15">
        <f t="shared" si="22"/>
        <v>0</v>
      </c>
      <c r="F63" s="15">
        <f t="shared" si="22"/>
        <v>0</v>
      </c>
      <c r="G63" s="15">
        <f t="shared" si="22"/>
        <v>0</v>
      </c>
      <c r="H63" s="15">
        <f t="shared" si="22"/>
        <v>0</v>
      </c>
      <c r="I63" s="15">
        <f t="shared" si="22"/>
        <v>0</v>
      </c>
      <c r="J63" s="15">
        <f t="shared" si="22"/>
        <v>0</v>
      </c>
      <c r="K63" s="15">
        <f t="shared" si="22"/>
        <v>0</v>
      </c>
      <c r="L63" s="15">
        <f t="shared" si="22"/>
        <v>0</v>
      </c>
      <c r="M63" s="15">
        <f t="shared" si="22"/>
        <v>0</v>
      </c>
    </row>
    <row r="64" ht="15.75" customHeight="1">
      <c r="A64" s="10" t="s">
        <v>56</v>
      </c>
      <c r="C64" s="16">
        <v>0.0</v>
      </c>
      <c r="D64" s="19">
        <f t="shared" ref="D64:M64" si="23">D57+D58+D61+D62+D63</f>
        <v>-1003600</v>
      </c>
      <c r="E64" s="19">
        <f t="shared" si="23"/>
        <v>-902878.704</v>
      </c>
      <c r="F64" s="19">
        <f t="shared" si="23"/>
        <v>-812265.7973</v>
      </c>
      <c r="G64" s="19">
        <f t="shared" si="23"/>
        <v>-730746.8019</v>
      </c>
      <c r="H64" s="19">
        <f t="shared" si="23"/>
        <v>-657409.0528</v>
      </c>
      <c r="I64" s="19">
        <f t="shared" si="23"/>
        <v>-591431.4803</v>
      </c>
      <c r="J64" s="19">
        <f t="shared" si="23"/>
        <v>-532075.4169</v>
      </c>
      <c r="K64" s="19">
        <f t="shared" si="23"/>
        <v>-478676.3281</v>
      </c>
      <c r="L64" s="19">
        <f t="shared" si="23"/>
        <v>-430636.3718</v>
      </c>
      <c r="M64" s="19">
        <f t="shared" si="23"/>
        <v>-387417.7055</v>
      </c>
    </row>
    <row r="65" ht="15.75" customHeight="1">
      <c r="A65" s="10" t="s">
        <v>57</v>
      </c>
      <c r="C65" s="27">
        <f>$B$6</f>
        <v>10000000</v>
      </c>
      <c r="D65" s="27">
        <f t="shared" ref="D65:M65" si="24">D56+D64</f>
        <v>8996400</v>
      </c>
      <c r="E65" s="27">
        <f t="shared" si="24"/>
        <v>8093521.296</v>
      </c>
      <c r="F65" s="27">
        <f t="shared" si="24"/>
        <v>7281255.499</v>
      </c>
      <c r="G65" s="27">
        <f t="shared" si="24"/>
        <v>6550508.697</v>
      </c>
      <c r="H65" s="27">
        <f t="shared" si="24"/>
        <v>5893099.644</v>
      </c>
      <c r="I65" s="27">
        <f t="shared" si="24"/>
        <v>5301668.164</v>
      </c>
      <c r="J65" s="27">
        <f t="shared" si="24"/>
        <v>4769592.747</v>
      </c>
      <c r="K65" s="27">
        <f t="shared" si="24"/>
        <v>4290916.419</v>
      </c>
      <c r="L65" s="27">
        <f t="shared" si="24"/>
        <v>3860280.047</v>
      </c>
      <c r="M65" s="27">
        <f t="shared" si="24"/>
        <v>3472862.341</v>
      </c>
    </row>
    <row r="66" ht="15.75" customHeight="1">
      <c r="A66" s="10" t="s">
        <v>58</v>
      </c>
      <c r="C66" s="28" t="s">
        <v>59</v>
      </c>
      <c r="D66" s="29">
        <f t="shared" ref="D66:M66" si="25">IF(D56=0,0,D65/D56)</f>
        <v>0.89964</v>
      </c>
      <c r="E66" s="29">
        <f t="shared" si="25"/>
        <v>0.89964</v>
      </c>
      <c r="F66" s="29">
        <f t="shared" si="25"/>
        <v>0.89964</v>
      </c>
      <c r="G66" s="29">
        <f t="shared" si="25"/>
        <v>0.89964</v>
      </c>
      <c r="H66" s="29">
        <f t="shared" si="25"/>
        <v>0.89964</v>
      </c>
      <c r="I66" s="29">
        <f t="shared" si="25"/>
        <v>0.89964</v>
      </c>
      <c r="J66" s="29">
        <f t="shared" si="25"/>
        <v>0.89964</v>
      </c>
      <c r="K66" s="29">
        <f t="shared" si="25"/>
        <v>0.89964</v>
      </c>
      <c r="L66" s="29">
        <f t="shared" si="25"/>
        <v>0.89964</v>
      </c>
      <c r="M66" s="29">
        <f t="shared" si="25"/>
        <v>0.89964</v>
      </c>
    </row>
    <row r="67" ht="15.75" customHeight="1">
      <c r="A67" s="10" t="s">
        <v>60</v>
      </c>
      <c r="D67" s="23" t="str">
        <f t="shared" ref="D67:M67" si="26">IF(D66&gt;=$B$7,"PASS","FAIL")</f>
        <v>FAIL</v>
      </c>
      <c r="E67" s="23" t="str">
        <f t="shared" si="26"/>
        <v>FAIL</v>
      </c>
      <c r="F67" s="23" t="str">
        <f t="shared" si="26"/>
        <v>FAIL</v>
      </c>
      <c r="G67" s="23" t="str">
        <f t="shared" si="26"/>
        <v>FAIL</v>
      </c>
      <c r="H67" s="23" t="str">
        <f t="shared" si="26"/>
        <v>FAIL</v>
      </c>
      <c r="I67" s="23" t="str">
        <f t="shared" si="26"/>
        <v>FAIL</v>
      </c>
      <c r="J67" s="23" t="str">
        <f t="shared" si="26"/>
        <v>FAIL</v>
      </c>
      <c r="K67" s="23" t="str">
        <f t="shared" si="26"/>
        <v>FAIL</v>
      </c>
      <c r="L67" s="23" t="str">
        <f t="shared" si="26"/>
        <v>FAIL</v>
      </c>
      <c r="M67" s="23" t="str">
        <f t="shared" si="26"/>
        <v>FAIL</v>
      </c>
    </row>
    <row r="68" ht="15.75" customHeight="1">
      <c r="A68" s="10" t="s">
        <v>61</v>
      </c>
      <c r="C68" s="24">
        <f>$B$6</f>
        <v>10000000</v>
      </c>
      <c r="D68" s="24">
        <f t="shared" ref="D68:M68" si="27">C68+D65</f>
        <v>18996400</v>
      </c>
      <c r="E68" s="24">
        <f t="shared" si="27"/>
        <v>27089921.3</v>
      </c>
      <c r="F68" s="24">
        <f t="shared" si="27"/>
        <v>34371176.79</v>
      </c>
      <c r="G68" s="24">
        <f t="shared" si="27"/>
        <v>40921685.49</v>
      </c>
      <c r="H68" s="24">
        <f t="shared" si="27"/>
        <v>46814785.14</v>
      </c>
      <c r="I68" s="24">
        <f t="shared" si="27"/>
        <v>52116453.3</v>
      </c>
      <c r="J68" s="24">
        <f t="shared" si="27"/>
        <v>56886046.05</v>
      </c>
      <c r="K68" s="24">
        <f t="shared" si="27"/>
        <v>61176962.47</v>
      </c>
      <c r="L68" s="24">
        <f t="shared" si="27"/>
        <v>65037242.51</v>
      </c>
      <c r="M68" s="24">
        <f t="shared" si="27"/>
        <v>68510104.85</v>
      </c>
    </row>
    <row r="69" ht="15.75" customHeight="1">
      <c r="A69" s="10" t="s">
        <v>62</v>
      </c>
      <c r="C69" s="25">
        <v>1.0</v>
      </c>
      <c r="D69" s="26">
        <f t="shared" ref="D69:M69" si="28">D68/$B$6</f>
        <v>1.89964</v>
      </c>
      <c r="E69" s="26">
        <f t="shared" si="28"/>
        <v>2.70899213</v>
      </c>
      <c r="F69" s="26">
        <f t="shared" si="28"/>
        <v>3.437117679</v>
      </c>
      <c r="G69" s="26">
        <f t="shared" si="28"/>
        <v>4.092168549</v>
      </c>
      <c r="H69" s="26">
        <f t="shared" si="28"/>
        <v>4.681478514</v>
      </c>
      <c r="I69" s="26">
        <f t="shared" si="28"/>
        <v>5.21164533</v>
      </c>
      <c r="J69" s="26">
        <f t="shared" si="28"/>
        <v>5.688604605</v>
      </c>
      <c r="K69" s="26">
        <f t="shared" si="28"/>
        <v>6.117696247</v>
      </c>
      <c r="L69" s="26">
        <f t="shared" si="28"/>
        <v>6.503724251</v>
      </c>
      <c r="M69" s="26">
        <f t="shared" si="28"/>
        <v>6.851010485</v>
      </c>
    </row>
    <row r="70" ht="15.75" customHeight="1"/>
    <row r="71" ht="15.75" customHeight="1"/>
    <row r="72" ht="15.75" customHeight="1">
      <c r="A72" s="8" t="s">
        <v>65</v>
      </c>
      <c r="C72" s="9" t="s">
        <v>66</v>
      </c>
    </row>
    <row r="73" ht="15.75" customHeight="1">
      <c r="A73" s="5" t="s">
        <v>33</v>
      </c>
      <c r="B73" s="13">
        <v>0.22</v>
      </c>
    </row>
    <row r="74" ht="15.75" customHeight="1">
      <c r="A74" s="5" t="s">
        <v>34</v>
      </c>
      <c r="B74" s="7">
        <v>0.02</v>
      </c>
    </row>
    <row r="75" ht="15.75" customHeight="1">
      <c r="A75" s="5" t="s">
        <v>35</v>
      </c>
      <c r="B75" s="7">
        <v>0.01</v>
      </c>
    </row>
    <row r="76" ht="15.75" customHeight="1">
      <c r="A76" s="5" t="s">
        <v>36</v>
      </c>
      <c r="B76" s="13">
        <v>0.02</v>
      </c>
    </row>
    <row r="77" ht="15.75" customHeight="1"/>
    <row r="78" ht="15.75" customHeight="1">
      <c r="A78" s="14"/>
      <c r="B78" s="14"/>
      <c r="C78" s="14" t="s">
        <v>37</v>
      </c>
      <c r="D78" s="14" t="s">
        <v>38</v>
      </c>
      <c r="E78" s="14" t="s">
        <v>39</v>
      </c>
      <c r="F78" s="14" t="s">
        <v>40</v>
      </c>
      <c r="G78" s="14" t="s">
        <v>41</v>
      </c>
      <c r="H78" s="14" t="s">
        <v>42</v>
      </c>
      <c r="I78" s="14" t="s">
        <v>43</v>
      </c>
      <c r="J78" s="14" t="s">
        <v>44</v>
      </c>
      <c r="K78" s="14" t="s">
        <v>45</v>
      </c>
      <c r="L78" s="14" t="s">
        <v>46</v>
      </c>
      <c r="M78" s="14" t="s">
        <v>47</v>
      </c>
    </row>
    <row r="79" ht="15.75" customHeight="1">
      <c r="A79" s="5" t="s">
        <v>48</v>
      </c>
      <c r="C79" s="15">
        <f>$B$6</f>
        <v>10000000</v>
      </c>
      <c r="D79" s="15">
        <f t="shared" ref="D79:M79" si="29">C88</f>
        <v>10000000</v>
      </c>
      <c r="E79" s="15">
        <f t="shared" si="29"/>
        <v>10047200</v>
      </c>
      <c r="F79" s="15">
        <f t="shared" si="29"/>
        <v>10094622.78</v>
      </c>
      <c r="G79" s="15">
        <f t="shared" si="29"/>
        <v>10142269.4</v>
      </c>
      <c r="H79" s="15">
        <f t="shared" si="29"/>
        <v>10190140.92</v>
      </c>
      <c r="I79" s="15">
        <f t="shared" si="29"/>
        <v>10238238.38</v>
      </c>
      <c r="J79" s="15">
        <f t="shared" si="29"/>
        <v>10286562.87</v>
      </c>
      <c r="K79" s="15">
        <f t="shared" si="29"/>
        <v>10335115.44</v>
      </c>
      <c r="L79" s="15">
        <f t="shared" si="29"/>
        <v>10383897.19</v>
      </c>
      <c r="M79" s="15">
        <f t="shared" si="29"/>
        <v>10432909.18</v>
      </c>
    </row>
    <row r="80" ht="15.75" customHeight="1">
      <c r="A80" s="5" t="s">
        <v>49</v>
      </c>
      <c r="C80" s="16">
        <v>0.0</v>
      </c>
      <c r="D80" s="17">
        <f t="shared" ref="D80:M80" si="30">-D79*$B$73</f>
        <v>-2200000</v>
      </c>
      <c r="E80" s="17">
        <f t="shared" si="30"/>
        <v>-2210384</v>
      </c>
      <c r="F80" s="17">
        <f t="shared" si="30"/>
        <v>-2220817.012</v>
      </c>
      <c r="G80" s="17">
        <f t="shared" si="30"/>
        <v>-2231299.269</v>
      </c>
      <c r="H80" s="17">
        <f t="shared" si="30"/>
        <v>-2241831.001</v>
      </c>
      <c r="I80" s="17">
        <f t="shared" si="30"/>
        <v>-2252412.444</v>
      </c>
      <c r="J80" s="17">
        <f t="shared" si="30"/>
        <v>-2263043.83</v>
      </c>
      <c r="K80" s="17">
        <f t="shared" si="30"/>
        <v>-2273725.397</v>
      </c>
      <c r="L80" s="17">
        <f t="shared" si="30"/>
        <v>-2284457.381</v>
      </c>
      <c r="M80" s="17">
        <f t="shared" si="30"/>
        <v>-2295240.02</v>
      </c>
    </row>
    <row r="81" ht="15.75" customHeight="1">
      <c r="A81" s="5" t="s">
        <v>50</v>
      </c>
      <c r="C81" s="16">
        <v>0.0</v>
      </c>
      <c r="D81" s="15">
        <f t="shared" ref="D81:M81" si="31">D82+D83</f>
        <v>1747200</v>
      </c>
      <c r="E81" s="15">
        <f t="shared" si="31"/>
        <v>1755446.784</v>
      </c>
      <c r="F81" s="15">
        <f t="shared" si="31"/>
        <v>1763732.493</v>
      </c>
      <c r="G81" s="15">
        <f t="shared" si="31"/>
        <v>1772057.31</v>
      </c>
      <c r="H81" s="15">
        <f t="shared" si="31"/>
        <v>1780421.421</v>
      </c>
      <c r="I81" s="15">
        <f t="shared" si="31"/>
        <v>1788825.01</v>
      </c>
      <c r="J81" s="15">
        <f t="shared" si="31"/>
        <v>1797268.264</v>
      </c>
      <c r="K81" s="15">
        <f t="shared" si="31"/>
        <v>1805751.37</v>
      </c>
      <c r="L81" s="15">
        <f t="shared" si="31"/>
        <v>1814274.517</v>
      </c>
      <c r="M81" s="15">
        <f t="shared" si="31"/>
        <v>1822837.892</v>
      </c>
    </row>
    <row r="82" ht="15.75" customHeight="1">
      <c r="A82" s="3" t="s">
        <v>51</v>
      </c>
      <c r="C82" s="16">
        <v>0.0</v>
      </c>
      <c r="D82" s="18">
        <f t="shared" ref="D82:M82" si="32">(D79+D80)*$B$13*$B$10*$B$21</f>
        <v>1092000</v>
      </c>
      <c r="E82" s="18">
        <f t="shared" si="32"/>
        <v>1097154.24</v>
      </c>
      <c r="F82" s="18">
        <f t="shared" si="32"/>
        <v>1102332.808</v>
      </c>
      <c r="G82" s="18">
        <f t="shared" si="32"/>
        <v>1107535.819</v>
      </c>
      <c r="H82" s="18">
        <f t="shared" si="32"/>
        <v>1112763.388</v>
      </c>
      <c r="I82" s="18">
        <f t="shared" si="32"/>
        <v>1118015.631</v>
      </c>
      <c r="J82" s="18">
        <f t="shared" si="32"/>
        <v>1123292.665</v>
      </c>
      <c r="K82" s="18">
        <f t="shared" si="32"/>
        <v>1128594.606</v>
      </c>
      <c r="L82" s="18">
        <f t="shared" si="32"/>
        <v>1133921.573</v>
      </c>
      <c r="M82" s="18">
        <f t="shared" si="32"/>
        <v>1139273.683</v>
      </c>
    </row>
    <row r="83" ht="15.75" customHeight="1">
      <c r="A83" s="3" t="s">
        <v>52</v>
      </c>
      <c r="C83" s="16">
        <v>0.0</v>
      </c>
      <c r="D83" s="18">
        <f t="shared" ref="D83:M83" si="33">(D79+D80)*$B$12*$B$11*$B$21</f>
        <v>655200</v>
      </c>
      <c r="E83" s="18">
        <f t="shared" si="33"/>
        <v>658292.544</v>
      </c>
      <c r="F83" s="18">
        <f t="shared" si="33"/>
        <v>661399.6848</v>
      </c>
      <c r="G83" s="18">
        <f t="shared" si="33"/>
        <v>664521.4913</v>
      </c>
      <c r="H83" s="18">
        <f t="shared" si="33"/>
        <v>667658.0328</v>
      </c>
      <c r="I83" s="18">
        <f t="shared" si="33"/>
        <v>670809.3787</v>
      </c>
      <c r="J83" s="18">
        <f t="shared" si="33"/>
        <v>673975.5989</v>
      </c>
      <c r="K83" s="18">
        <f t="shared" si="33"/>
        <v>677156.7638</v>
      </c>
      <c r="L83" s="18">
        <f t="shared" si="33"/>
        <v>680352.9437</v>
      </c>
      <c r="M83" s="18">
        <f t="shared" si="33"/>
        <v>683564.2096</v>
      </c>
    </row>
    <row r="84" ht="15.75" customHeight="1">
      <c r="A84" s="5" t="s">
        <v>53</v>
      </c>
      <c r="C84" s="16">
        <v>0.0</v>
      </c>
      <c r="D84" s="15">
        <f t="shared" ref="D84:M84" si="34">D79*$B$74</f>
        <v>200000</v>
      </c>
      <c r="E84" s="15">
        <f t="shared" si="34"/>
        <v>200944</v>
      </c>
      <c r="F84" s="15">
        <f t="shared" si="34"/>
        <v>201892.4557</v>
      </c>
      <c r="G84" s="15">
        <f t="shared" si="34"/>
        <v>202845.3881</v>
      </c>
      <c r="H84" s="15">
        <f t="shared" si="34"/>
        <v>203802.8183</v>
      </c>
      <c r="I84" s="15">
        <f t="shared" si="34"/>
        <v>204764.7676</v>
      </c>
      <c r="J84" s="15">
        <f t="shared" si="34"/>
        <v>205731.2573</v>
      </c>
      <c r="K84" s="15">
        <f t="shared" si="34"/>
        <v>206702.3088</v>
      </c>
      <c r="L84" s="15">
        <f t="shared" si="34"/>
        <v>207677.9437</v>
      </c>
      <c r="M84" s="15">
        <f t="shared" si="34"/>
        <v>208658.1836</v>
      </c>
    </row>
    <row r="85" ht="15.75" customHeight="1">
      <c r="A85" s="5" t="s">
        <v>54</v>
      </c>
      <c r="C85" s="16">
        <v>0.0</v>
      </c>
      <c r="D85" s="15">
        <f t="shared" ref="D85:M85" si="35">D79*$B$75</f>
        <v>100000</v>
      </c>
      <c r="E85" s="15">
        <f t="shared" si="35"/>
        <v>100472</v>
      </c>
      <c r="F85" s="15">
        <f t="shared" si="35"/>
        <v>100946.2278</v>
      </c>
      <c r="G85" s="15">
        <f t="shared" si="35"/>
        <v>101422.694</v>
      </c>
      <c r="H85" s="15">
        <f t="shared" si="35"/>
        <v>101901.4092</v>
      </c>
      <c r="I85" s="15">
        <f t="shared" si="35"/>
        <v>102382.3838</v>
      </c>
      <c r="J85" s="15">
        <f t="shared" si="35"/>
        <v>102865.6287</v>
      </c>
      <c r="K85" s="15">
        <f t="shared" si="35"/>
        <v>103351.1544</v>
      </c>
      <c r="L85" s="15">
        <f t="shared" si="35"/>
        <v>103838.9719</v>
      </c>
      <c r="M85" s="15">
        <f t="shared" si="35"/>
        <v>104329.0918</v>
      </c>
    </row>
    <row r="86" ht="15.75" customHeight="1">
      <c r="A86" s="5" t="s">
        <v>55</v>
      </c>
      <c r="C86" s="16">
        <v>0.0</v>
      </c>
      <c r="D86" s="15">
        <f t="shared" ref="D86:M86" si="36">D79*$B$76</f>
        <v>200000</v>
      </c>
      <c r="E86" s="15">
        <f t="shared" si="36"/>
        <v>200944</v>
      </c>
      <c r="F86" s="15">
        <f t="shared" si="36"/>
        <v>201892.4557</v>
      </c>
      <c r="G86" s="15">
        <f t="shared" si="36"/>
        <v>202845.3881</v>
      </c>
      <c r="H86" s="15">
        <f t="shared" si="36"/>
        <v>203802.8183</v>
      </c>
      <c r="I86" s="15">
        <f t="shared" si="36"/>
        <v>204764.7676</v>
      </c>
      <c r="J86" s="15">
        <f t="shared" si="36"/>
        <v>205731.2573</v>
      </c>
      <c r="K86" s="15">
        <f t="shared" si="36"/>
        <v>206702.3088</v>
      </c>
      <c r="L86" s="15">
        <f t="shared" si="36"/>
        <v>207677.9437</v>
      </c>
      <c r="M86" s="15">
        <f t="shared" si="36"/>
        <v>208658.1836</v>
      </c>
    </row>
    <row r="87" ht="15.75" customHeight="1">
      <c r="A87" s="10" t="s">
        <v>56</v>
      </c>
      <c r="C87" s="16">
        <v>0.0</v>
      </c>
      <c r="D87" s="19">
        <f t="shared" ref="D87:M87" si="37">D80+D81+D84+D85+D86</f>
        <v>47200</v>
      </c>
      <c r="E87" s="19">
        <f t="shared" si="37"/>
        <v>47422.784</v>
      </c>
      <c r="F87" s="19">
        <f t="shared" si="37"/>
        <v>47646.61954</v>
      </c>
      <c r="G87" s="19">
        <f t="shared" si="37"/>
        <v>47871.51158</v>
      </c>
      <c r="H87" s="19">
        <f t="shared" si="37"/>
        <v>48097.46512</v>
      </c>
      <c r="I87" s="19">
        <f t="shared" si="37"/>
        <v>48324.48515</v>
      </c>
      <c r="J87" s="19">
        <f t="shared" si="37"/>
        <v>48552.57672</v>
      </c>
      <c r="K87" s="19">
        <f t="shared" si="37"/>
        <v>48781.74489</v>
      </c>
      <c r="L87" s="19">
        <f t="shared" si="37"/>
        <v>49011.99472</v>
      </c>
      <c r="M87" s="19">
        <f t="shared" si="37"/>
        <v>49243.33134</v>
      </c>
    </row>
    <row r="88" ht="15.75" customHeight="1">
      <c r="A88" s="10" t="s">
        <v>57</v>
      </c>
      <c r="C88" s="30">
        <f>$B$6</f>
        <v>10000000</v>
      </c>
      <c r="D88" s="30">
        <f t="shared" ref="D88:M88" si="38">D79+D87</f>
        <v>10047200</v>
      </c>
      <c r="E88" s="30">
        <f t="shared" si="38"/>
        <v>10094622.78</v>
      </c>
      <c r="F88" s="30">
        <f t="shared" si="38"/>
        <v>10142269.4</v>
      </c>
      <c r="G88" s="30">
        <f t="shared" si="38"/>
        <v>10190140.92</v>
      </c>
      <c r="H88" s="30">
        <f t="shared" si="38"/>
        <v>10238238.38</v>
      </c>
      <c r="I88" s="30">
        <f t="shared" si="38"/>
        <v>10286562.87</v>
      </c>
      <c r="J88" s="30">
        <f t="shared" si="38"/>
        <v>10335115.44</v>
      </c>
      <c r="K88" s="30">
        <f t="shared" si="38"/>
        <v>10383897.19</v>
      </c>
      <c r="L88" s="30">
        <f t="shared" si="38"/>
        <v>10432909.18</v>
      </c>
      <c r="M88" s="30">
        <f t="shared" si="38"/>
        <v>10482152.51</v>
      </c>
    </row>
    <row r="89" ht="15.75" customHeight="1">
      <c r="A89" s="10" t="s">
        <v>58</v>
      </c>
      <c r="C89" s="31" t="s">
        <v>59</v>
      </c>
      <c r="D89" s="32">
        <f t="shared" ref="D89:M89" si="39">IF(D79=0,0,D88/D79)</f>
        <v>1.00472</v>
      </c>
      <c r="E89" s="32">
        <f t="shared" si="39"/>
        <v>1.00472</v>
      </c>
      <c r="F89" s="32">
        <f t="shared" si="39"/>
        <v>1.00472</v>
      </c>
      <c r="G89" s="32">
        <f t="shared" si="39"/>
        <v>1.00472</v>
      </c>
      <c r="H89" s="32">
        <f t="shared" si="39"/>
        <v>1.00472</v>
      </c>
      <c r="I89" s="32">
        <f t="shared" si="39"/>
        <v>1.00472</v>
      </c>
      <c r="J89" s="32">
        <f t="shared" si="39"/>
        <v>1.00472</v>
      </c>
      <c r="K89" s="32">
        <f t="shared" si="39"/>
        <v>1.00472</v>
      </c>
      <c r="L89" s="32">
        <f t="shared" si="39"/>
        <v>1.00472</v>
      </c>
      <c r="M89" s="32">
        <f t="shared" si="39"/>
        <v>1.00472</v>
      </c>
    </row>
    <row r="90" ht="15.75" customHeight="1">
      <c r="A90" s="10" t="s">
        <v>60</v>
      </c>
      <c r="D90" s="23" t="str">
        <f t="shared" ref="D90:M90" si="40">IF(D89&gt;=$B$7,"PASS","FAIL")</f>
        <v>PASS</v>
      </c>
      <c r="E90" s="23" t="str">
        <f t="shared" si="40"/>
        <v>PASS</v>
      </c>
      <c r="F90" s="23" t="str">
        <f t="shared" si="40"/>
        <v>PASS</v>
      </c>
      <c r="G90" s="23" t="str">
        <f t="shared" si="40"/>
        <v>PASS</v>
      </c>
      <c r="H90" s="23" t="str">
        <f t="shared" si="40"/>
        <v>PASS</v>
      </c>
      <c r="I90" s="23" t="str">
        <f t="shared" si="40"/>
        <v>PASS</v>
      </c>
      <c r="J90" s="23" t="str">
        <f t="shared" si="40"/>
        <v>PASS</v>
      </c>
      <c r="K90" s="23" t="str">
        <f t="shared" si="40"/>
        <v>PASS</v>
      </c>
      <c r="L90" s="23" t="str">
        <f t="shared" si="40"/>
        <v>PASS</v>
      </c>
      <c r="M90" s="23" t="str">
        <f t="shared" si="40"/>
        <v>PASS</v>
      </c>
    </row>
    <row r="91" ht="15.75" customHeight="1">
      <c r="A91" s="10" t="s">
        <v>61</v>
      </c>
      <c r="C91" s="24">
        <f>$B$6</f>
        <v>10000000</v>
      </c>
      <c r="D91" s="24">
        <f t="shared" ref="D91:M91" si="41">C91+D88</f>
        <v>20047200</v>
      </c>
      <c r="E91" s="24">
        <f t="shared" si="41"/>
        <v>30141822.78</v>
      </c>
      <c r="F91" s="24">
        <f t="shared" si="41"/>
        <v>40284092.19</v>
      </c>
      <c r="G91" s="24">
        <f t="shared" si="41"/>
        <v>50474233.1</v>
      </c>
      <c r="H91" s="24">
        <f t="shared" si="41"/>
        <v>60712471.48</v>
      </c>
      <c r="I91" s="24">
        <f t="shared" si="41"/>
        <v>70999034.35</v>
      </c>
      <c r="J91" s="24">
        <f t="shared" si="41"/>
        <v>81334149.79</v>
      </c>
      <c r="K91" s="24">
        <f t="shared" si="41"/>
        <v>91718046.98</v>
      </c>
      <c r="L91" s="24">
        <f t="shared" si="41"/>
        <v>102150956.2</v>
      </c>
      <c r="M91" s="24">
        <f t="shared" si="41"/>
        <v>112633108.7</v>
      </c>
    </row>
    <row r="92" ht="15.75" customHeight="1">
      <c r="A92" s="10" t="s">
        <v>62</v>
      </c>
      <c r="C92" s="25">
        <v>1.0</v>
      </c>
      <c r="D92" s="26">
        <f t="shared" ref="D92:M92" si="42">D91/$B$6</f>
        <v>2.00472</v>
      </c>
      <c r="E92" s="26">
        <f t="shared" si="42"/>
        <v>3.014182278</v>
      </c>
      <c r="F92" s="26">
        <f t="shared" si="42"/>
        <v>4.028409219</v>
      </c>
      <c r="G92" s="26">
        <f t="shared" si="42"/>
        <v>5.04742331</v>
      </c>
      <c r="H92" s="26">
        <f t="shared" si="42"/>
        <v>6.071247148</v>
      </c>
      <c r="I92" s="26">
        <f t="shared" si="42"/>
        <v>7.099903435</v>
      </c>
      <c r="J92" s="26">
        <f t="shared" si="42"/>
        <v>8.133414979</v>
      </c>
      <c r="K92" s="26">
        <f t="shared" si="42"/>
        <v>9.171804698</v>
      </c>
      <c r="L92" s="26">
        <f t="shared" si="42"/>
        <v>10.21509562</v>
      </c>
      <c r="M92" s="26">
        <f t="shared" si="42"/>
        <v>11.26331087</v>
      </c>
    </row>
    <row r="93" ht="15.75" customHeight="1"/>
    <row r="94" ht="15.75" customHeight="1"/>
    <row r="95" ht="15.75" customHeight="1">
      <c r="A95" s="8" t="s">
        <v>67</v>
      </c>
      <c r="C95" s="9" t="s">
        <v>68</v>
      </c>
    </row>
    <row r="96" ht="15.75" customHeight="1">
      <c r="A96" s="5" t="s">
        <v>33</v>
      </c>
      <c r="B96" s="7">
        <v>0.2</v>
      </c>
    </row>
    <row r="97" ht="15.75" customHeight="1">
      <c r="A97" s="5" t="s">
        <v>34</v>
      </c>
      <c r="B97" s="7">
        <v>0.025</v>
      </c>
    </row>
    <row r="98" ht="15.75" customHeight="1">
      <c r="A98" s="5" t="s">
        <v>35</v>
      </c>
      <c r="B98" s="7">
        <v>0.025</v>
      </c>
    </row>
    <row r="99" ht="15.75" customHeight="1">
      <c r="A99" s="5" t="s">
        <v>36</v>
      </c>
      <c r="B99" s="7">
        <v>0.125</v>
      </c>
    </row>
    <row r="100" ht="15.75" customHeight="1"/>
    <row r="101" ht="15.75" customHeight="1">
      <c r="A101" s="14"/>
      <c r="B101" s="14"/>
      <c r="C101" s="14" t="s">
        <v>37</v>
      </c>
      <c r="D101" s="14" t="s">
        <v>38</v>
      </c>
      <c r="E101" s="14" t="s">
        <v>39</v>
      </c>
      <c r="F101" s="14" t="s">
        <v>40</v>
      </c>
      <c r="G101" s="14" t="s">
        <v>41</v>
      </c>
      <c r="H101" s="14" t="s">
        <v>42</v>
      </c>
      <c r="I101" s="14" t="s">
        <v>43</v>
      </c>
      <c r="J101" s="14" t="s">
        <v>44</v>
      </c>
      <c r="K101" s="14" t="s">
        <v>45</v>
      </c>
      <c r="L101" s="14" t="s">
        <v>46</v>
      </c>
      <c r="M101" s="14" t="s">
        <v>47</v>
      </c>
    </row>
    <row r="102" ht="15.75" customHeight="1">
      <c r="A102" s="5" t="s">
        <v>48</v>
      </c>
      <c r="C102" s="15">
        <f>$B$6</f>
        <v>10000000</v>
      </c>
      <c r="D102" s="15">
        <f t="shared" ref="D102:M102" si="43">C111</f>
        <v>10000000</v>
      </c>
      <c r="E102" s="15">
        <f t="shared" si="43"/>
        <v>11542000</v>
      </c>
      <c r="F102" s="15">
        <f t="shared" si="43"/>
        <v>13321776.4</v>
      </c>
      <c r="G102" s="15">
        <f t="shared" si="43"/>
        <v>15375994.32</v>
      </c>
      <c r="H102" s="15">
        <f t="shared" si="43"/>
        <v>17746972.65</v>
      </c>
      <c r="I102" s="15">
        <f t="shared" si="43"/>
        <v>20483555.83</v>
      </c>
      <c r="J102" s="15">
        <f t="shared" si="43"/>
        <v>23642120.14</v>
      </c>
      <c r="K102" s="15">
        <f t="shared" si="43"/>
        <v>27287735.06</v>
      </c>
      <c r="L102" s="15">
        <f t="shared" si="43"/>
        <v>31495503.81</v>
      </c>
      <c r="M102" s="15">
        <f t="shared" si="43"/>
        <v>36352110.49</v>
      </c>
    </row>
    <row r="103" ht="15.75" customHeight="1">
      <c r="A103" s="5" t="s">
        <v>49</v>
      </c>
      <c r="C103" s="16">
        <v>0.0</v>
      </c>
      <c r="D103" s="17">
        <f t="shared" ref="D103:M103" si="44">-D102*$B$96</f>
        <v>-2000000</v>
      </c>
      <c r="E103" s="17">
        <f t="shared" si="44"/>
        <v>-2308400</v>
      </c>
      <c r="F103" s="17">
        <f t="shared" si="44"/>
        <v>-2664355.28</v>
      </c>
      <c r="G103" s="17">
        <f t="shared" si="44"/>
        <v>-3075198.864</v>
      </c>
      <c r="H103" s="17">
        <f t="shared" si="44"/>
        <v>-3549394.529</v>
      </c>
      <c r="I103" s="17">
        <f t="shared" si="44"/>
        <v>-4096711.165</v>
      </c>
      <c r="J103" s="17">
        <f t="shared" si="44"/>
        <v>-4728424.027</v>
      </c>
      <c r="K103" s="17">
        <f t="shared" si="44"/>
        <v>-5457547.012</v>
      </c>
      <c r="L103" s="17">
        <f t="shared" si="44"/>
        <v>-6299100.761</v>
      </c>
      <c r="M103" s="17">
        <f t="shared" si="44"/>
        <v>-7270422.099</v>
      </c>
    </row>
    <row r="104" ht="15.75" customHeight="1">
      <c r="A104" s="5" t="s">
        <v>50</v>
      </c>
      <c r="C104" s="16">
        <v>0.0</v>
      </c>
      <c r="D104" s="15">
        <f t="shared" ref="D104:M104" si="45">D105+D106</f>
        <v>1792000</v>
      </c>
      <c r="E104" s="15">
        <f t="shared" si="45"/>
        <v>2068326.4</v>
      </c>
      <c r="F104" s="15">
        <f t="shared" si="45"/>
        <v>2387262.331</v>
      </c>
      <c r="G104" s="15">
        <f t="shared" si="45"/>
        <v>2755378.182</v>
      </c>
      <c r="H104" s="15">
        <f t="shared" si="45"/>
        <v>3180257.498</v>
      </c>
      <c r="I104" s="15">
        <f t="shared" si="45"/>
        <v>3670653.204</v>
      </c>
      <c r="J104" s="15">
        <f t="shared" si="45"/>
        <v>4236667.928</v>
      </c>
      <c r="K104" s="15">
        <f t="shared" si="45"/>
        <v>4889962.123</v>
      </c>
      <c r="L104" s="15">
        <f t="shared" si="45"/>
        <v>5643994.282</v>
      </c>
      <c r="M104" s="15">
        <f t="shared" si="45"/>
        <v>6514298.2</v>
      </c>
    </row>
    <row r="105" ht="15.75" customHeight="1">
      <c r="A105" s="3" t="s">
        <v>51</v>
      </c>
      <c r="C105" s="16">
        <v>0.0</v>
      </c>
      <c r="D105" s="18">
        <f t="shared" ref="D105:M105" si="46">(D102+D103)*$B$13*$B$10*$B$21</f>
        <v>1120000</v>
      </c>
      <c r="E105" s="18">
        <f t="shared" si="46"/>
        <v>1292704</v>
      </c>
      <c r="F105" s="18">
        <f t="shared" si="46"/>
        <v>1492038.957</v>
      </c>
      <c r="G105" s="18">
        <f t="shared" si="46"/>
        <v>1722111.364</v>
      </c>
      <c r="H105" s="18">
        <f t="shared" si="46"/>
        <v>1987660.936</v>
      </c>
      <c r="I105" s="18">
        <f t="shared" si="46"/>
        <v>2294158.253</v>
      </c>
      <c r="J105" s="18">
        <f t="shared" si="46"/>
        <v>2647917.455</v>
      </c>
      <c r="K105" s="18">
        <f t="shared" si="46"/>
        <v>3056226.327</v>
      </c>
      <c r="L105" s="18">
        <f t="shared" si="46"/>
        <v>3527496.426</v>
      </c>
      <c r="M105" s="18">
        <f t="shared" si="46"/>
        <v>4071436.375</v>
      </c>
    </row>
    <row r="106" ht="15.75" customHeight="1">
      <c r="A106" s="3" t="s">
        <v>52</v>
      </c>
      <c r="C106" s="16">
        <v>0.0</v>
      </c>
      <c r="D106" s="18">
        <f t="shared" ref="D106:M106" si="47">(D102+D103)*$B$12*$B$11*$B$21</f>
        <v>672000</v>
      </c>
      <c r="E106" s="18">
        <f t="shared" si="47"/>
        <v>775622.4</v>
      </c>
      <c r="F106" s="18">
        <f t="shared" si="47"/>
        <v>895223.3741</v>
      </c>
      <c r="G106" s="18">
        <f t="shared" si="47"/>
        <v>1033266.818</v>
      </c>
      <c r="H106" s="18">
        <f t="shared" si="47"/>
        <v>1192596.562</v>
      </c>
      <c r="I106" s="18">
        <f t="shared" si="47"/>
        <v>1376494.952</v>
      </c>
      <c r="J106" s="18">
        <f t="shared" si="47"/>
        <v>1588750.473</v>
      </c>
      <c r="K106" s="18">
        <f t="shared" si="47"/>
        <v>1833735.796</v>
      </c>
      <c r="L106" s="18">
        <f t="shared" si="47"/>
        <v>2116497.856</v>
      </c>
      <c r="M106" s="18">
        <f t="shared" si="47"/>
        <v>2442861.825</v>
      </c>
    </row>
    <row r="107" ht="15.75" customHeight="1">
      <c r="A107" s="5" t="s">
        <v>53</v>
      </c>
      <c r="C107" s="16">
        <v>0.0</v>
      </c>
      <c r="D107" s="15">
        <f t="shared" ref="D107:M107" si="48">D102*$B$97</f>
        <v>250000</v>
      </c>
      <c r="E107" s="15">
        <f t="shared" si="48"/>
        <v>288550</v>
      </c>
      <c r="F107" s="15">
        <f t="shared" si="48"/>
        <v>333044.41</v>
      </c>
      <c r="G107" s="15">
        <f t="shared" si="48"/>
        <v>384399.858</v>
      </c>
      <c r="H107" s="15">
        <f t="shared" si="48"/>
        <v>443674.3161</v>
      </c>
      <c r="I107" s="15">
        <f t="shared" si="48"/>
        <v>512088.8957</v>
      </c>
      <c r="J107" s="15">
        <f t="shared" si="48"/>
        <v>591053.0034</v>
      </c>
      <c r="K107" s="15">
        <f t="shared" si="48"/>
        <v>682193.3765</v>
      </c>
      <c r="L107" s="15">
        <f t="shared" si="48"/>
        <v>787387.5952</v>
      </c>
      <c r="M107" s="15">
        <f t="shared" si="48"/>
        <v>908802.7623</v>
      </c>
    </row>
    <row r="108" ht="15.75" customHeight="1">
      <c r="A108" s="5" t="s">
        <v>54</v>
      </c>
      <c r="C108" s="16">
        <v>0.0</v>
      </c>
      <c r="D108" s="15">
        <f t="shared" ref="D108:M108" si="49">D102*$B$98</f>
        <v>250000</v>
      </c>
      <c r="E108" s="15">
        <f t="shared" si="49"/>
        <v>288550</v>
      </c>
      <c r="F108" s="15">
        <f t="shared" si="49"/>
        <v>333044.41</v>
      </c>
      <c r="G108" s="15">
        <f t="shared" si="49"/>
        <v>384399.858</v>
      </c>
      <c r="H108" s="15">
        <f t="shared" si="49"/>
        <v>443674.3161</v>
      </c>
      <c r="I108" s="15">
        <f t="shared" si="49"/>
        <v>512088.8957</v>
      </c>
      <c r="J108" s="15">
        <f t="shared" si="49"/>
        <v>591053.0034</v>
      </c>
      <c r="K108" s="15">
        <f t="shared" si="49"/>
        <v>682193.3765</v>
      </c>
      <c r="L108" s="15">
        <f t="shared" si="49"/>
        <v>787387.5952</v>
      </c>
      <c r="M108" s="15">
        <f t="shared" si="49"/>
        <v>908802.7623</v>
      </c>
    </row>
    <row r="109" ht="15.75" customHeight="1">
      <c r="A109" s="5" t="s">
        <v>55</v>
      </c>
      <c r="C109" s="16">
        <v>0.0</v>
      </c>
      <c r="D109" s="15">
        <f t="shared" ref="D109:M109" si="50">D102*$B$99</f>
        <v>1250000</v>
      </c>
      <c r="E109" s="15">
        <f t="shared" si="50"/>
        <v>1442750</v>
      </c>
      <c r="F109" s="15">
        <f t="shared" si="50"/>
        <v>1665222.05</v>
      </c>
      <c r="G109" s="15">
        <f t="shared" si="50"/>
        <v>1921999.29</v>
      </c>
      <c r="H109" s="15">
        <f t="shared" si="50"/>
        <v>2218371.581</v>
      </c>
      <c r="I109" s="15">
        <f t="shared" si="50"/>
        <v>2560444.478</v>
      </c>
      <c r="J109" s="15">
        <f t="shared" si="50"/>
        <v>2955265.017</v>
      </c>
      <c r="K109" s="15">
        <f t="shared" si="50"/>
        <v>3410966.883</v>
      </c>
      <c r="L109" s="15">
        <f t="shared" si="50"/>
        <v>3936937.976</v>
      </c>
      <c r="M109" s="15">
        <f t="shared" si="50"/>
        <v>4544013.812</v>
      </c>
    </row>
    <row r="110" ht="15.75" customHeight="1">
      <c r="A110" s="10" t="s">
        <v>56</v>
      </c>
      <c r="C110" s="16">
        <v>0.0</v>
      </c>
      <c r="D110" s="19">
        <f t="shared" ref="D110:M110" si="51">D103+D104+D107+D108+D109</f>
        <v>1542000</v>
      </c>
      <c r="E110" s="19">
        <f t="shared" si="51"/>
        <v>1779776.4</v>
      </c>
      <c r="F110" s="19">
        <f t="shared" si="51"/>
        <v>2054217.921</v>
      </c>
      <c r="G110" s="19">
        <f t="shared" si="51"/>
        <v>2370978.324</v>
      </c>
      <c r="H110" s="19">
        <f t="shared" si="51"/>
        <v>2736583.182</v>
      </c>
      <c r="I110" s="19">
        <f t="shared" si="51"/>
        <v>3158564.309</v>
      </c>
      <c r="J110" s="19">
        <f t="shared" si="51"/>
        <v>3645614.925</v>
      </c>
      <c r="K110" s="19">
        <f t="shared" si="51"/>
        <v>4207768.746</v>
      </c>
      <c r="L110" s="19">
        <f t="shared" si="51"/>
        <v>4856606.687</v>
      </c>
      <c r="M110" s="19">
        <f t="shared" si="51"/>
        <v>5605495.438</v>
      </c>
    </row>
    <row r="111" ht="15.75" customHeight="1">
      <c r="A111" s="10" t="s">
        <v>57</v>
      </c>
      <c r="C111" s="33">
        <f>$B$6</f>
        <v>10000000</v>
      </c>
      <c r="D111" s="33">
        <f t="shared" ref="D111:M111" si="52">D102+D110</f>
        <v>11542000</v>
      </c>
      <c r="E111" s="33">
        <f t="shared" si="52"/>
        <v>13321776.4</v>
      </c>
      <c r="F111" s="33">
        <f t="shared" si="52"/>
        <v>15375994.32</v>
      </c>
      <c r="G111" s="33">
        <f t="shared" si="52"/>
        <v>17746972.65</v>
      </c>
      <c r="H111" s="33">
        <f t="shared" si="52"/>
        <v>20483555.83</v>
      </c>
      <c r="I111" s="33">
        <f t="shared" si="52"/>
        <v>23642120.14</v>
      </c>
      <c r="J111" s="33">
        <f t="shared" si="52"/>
        <v>27287735.06</v>
      </c>
      <c r="K111" s="33">
        <f t="shared" si="52"/>
        <v>31495503.81</v>
      </c>
      <c r="L111" s="33">
        <f t="shared" si="52"/>
        <v>36352110.49</v>
      </c>
      <c r="M111" s="33">
        <f t="shared" si="52"/>
        <v>41957605.93</v>
      </c>
    </row>
    <row r="112" ht="15.75" customHeight="1">
      <c r="A112" s="10" t="s">
        <v>58</v>
      </c>
      <c r="C112" s="34" t="s">
        <v>59</v>
      </c>
      <c r="D112" s="35">
        <f t="shared" ref="D112:M112" si="53">IF(D102=0,0,D111/D102)</f>
        <v>1.1542</v>
      </c>
      <c r="E112" s="35">
        <f t="shared" si="53"/>
        <v>1.1542</v>
      </c>
      <c r="F112" s="35">
        <f t="shared" si="53"/>
        <v>1.1542</v>
      </c>
      <c r="G112" s="35">
        <f t="shared" si="53"/>
        <v>1.1542</v>
      </c>
      <c r="H112" s="35">
        <f t="shared" si="53"/>
        <v>1.1542</v>
      </c>
      <c r="I112" s="35">
        <f t="shared" si="53"/>
        <v>1.1542</v>
      </c>
      <c r="J112" s="35">
        <f t="shared" si="53"/>
        <v>1.1542</v>
      </c>
      <c r="K112" s="35">
        <f t="shared" si="53"/>
        <v>1.1542</v>
      </c>
      <c r="L112" s="35">
        <f t="shared" si="53"/>
        <v>1.1542</v>
      </c>
      <c r="M112" s="35">
        <f t="shared" si="53"/>
        <v>1.1542</v>
      </c>
    </row>
    <row r="113" ht="15.75" customHeight="1">
      <c r="A113" s="10" t="s">
        <v>60</v>
      </c>
      <c r="D113" s="23" t="str">
        <f t="shared" ref="D113:M113" si="54">IF(D112&gt;=$B$7,"PASS","FAIL")</f>
        <v>PASS</v>
      </c>
      <c r="E113" s="23" t="str">
        <f t="shared" si="54"/>
        <v>PASS</v>
      </c>
      <c r="F113" s="23" t="str">
        <f t="shared" si="54"/>
        <v>PASS</v>
      </c>
      <c r="G113" s="23" t="str">
        <f t="shared" si="54"/>
        <v>PASS</v>
      </c>
      <c r="H113" s="23" t="str">
        <f t="shared" si="54"/>
        <v>PASS</v>
      </c>
      <c r="I113" s="23" t="str">
        <f t="shared" si="54"/>
        <v>PASS</v>
      </c>
      <c r="J113" s="23" t="str">
        <f t="shared" si="54"/>
        <v>PASS</v>
      </c>
      <c r="K113" s="23" t="str">
        <f t="shared" si="54"/>
        <v>PASS</v>
      </c>
      <c r="L113" s="23" t="str">
        <f t="shared" si="54"/>
        <v>PASS</v>
      </c>
      <c r="M113" s="23" t="str">
        <f t="shared" si="54"/>
        <v>PASS</v>
      </c>
    </row>
    <row r="114" ht="15.75" customHeight="1">
      <c r="A114" s="10" t="s">
        <v>61</v>
      </c>
      <c r="C114" s="24">
        <f>$B$6</f>
        <v>10000000</v>
      </c>
      <c r="D114" s="24">
        <f t="shared" ref="D114:M114" si="55">C114+D111</f>
        <v>21542000</v>
      </c>
      <c r="E114" s="24">
        <f t="shared" si="55"/>
        <v>34863776.4</v>
      </c>
      <c r="F114" s="24">
        <f t="shared" si="55"/>
        <v>50239770.72</v>
      </c>
      <c r="G114" s="24">
        <f t="shared" si="55"/>
        <v>67986743.37</v>
      </c>
      <c r="H114" s="24">
        <f t="shared" si="55"/>
        <v>88470299.19</v>
      </c>
      <c r="I114" s="24">
        <f t="shared" si="55"/>
        <v>112112419.3</v>
      </c>
      <c r="J114" s="24">
        <f t="shared" si="55"/>
        <v>139400154.4</v>
      </c>
      <c r="K114" s="24">
        <f t="shared" si="55"/>
        <v>170895658.2</v>
      </c>
      <c r="L114" s="24">
        <f t="shared" si="55"/>
        <v>207247768.7</v>
      </c>
      <c r="M114" s="24">
        <f t="shared" si="55"/>
        <v>249205374.6</v>
      </c>
    </row>
    <row r="115" ht="15.75" customHeight="1">
      <c r="A115" s="10" t="s">
        <v>62</v>
      </c>
      <c r="C115" s="25">
        <v>1.0</v>
      </c>
      <c r="D115" s="26">
        <f t="shared" ref="D115:M115" si="56">D114/$B$6</f>
        <v>2.1542</v>
      </c>
      <c r="E115" s="26">
        <f t="shared" si="56"/>
        <v>3.48637764</v>
      </c>
      <c r="F115" s="26">
        <f t="shared" si="56"/>
        <v>5.023977072</v>
      </c>
      <c r="G115" s="26">
        <f t="shared" si="56"/>
        <v>6.798674337</v>
      </c>
      <c r="H115" s="26">
        <f t="shared" si="56"/>
        <v>8.847029919</v>
      </c>
      <c r="I115" s="26">
        <f t="shared" si="56"/>
        <v>11.21124193</v>
      </c>
      <c r="J115" s="26">
        <f t="shared" si="56"/>
        <v>13.94001544</v>
      </c>
      <c r="K115" s="26">
        <f t="shared" si="56"/>
        <v>17.08956582</v>
      </c>
      <c r="L115" s="26">
        <f t="shared" si="56"/>
        <v>20.72477687</v>
      </c>
      <c r="M115" s="26">
        <f t="shared" si="56"/>
        <v>24.92053746</v>
      </c>
    </row>
    <row r="116" ht="15.75" customHeight="1"/>
    <row r="117" ht="15.75" customHeight="1"/>
    <row r="118" ht="15.75" customHeight="1">
      <c r="A118" s="1" t="s">
        <v>69</v>
      </c>
    </row>
    <row r="119" ht="15.75" customHeight="1">
      <c r="A119" s="14" t="s">
        <v>70</v>
      </c>
      <c r="B119" s="14" t="s">
        <v>71</v>
      </c>
      <c r="C119" s="14" t="s">
        <v>72</v>
      </c>
      <c r="D119" s="14" t="s">
        <v>73</v>
      </c>
      <c r="E119" s="14" t="s">
        <v>74</v>
      </c>
    </row>
    <row r="120" ht="15.75" customHeight="1">
      <c r="A120" s="5" t="s">
        <v>4</v>
      </c>
      <c r="B120" s="36">
        <f t="shared" ref="B120:E120" si="57">$B$6</f>
        <v>10000000</v>
      </c>
      <c r="C120" s="36">
        <f t="shared" si="57"/>
        <v>10000000</v>
      </c>
      <c r="D120" s="36">
        <f t="shared" si="57"/>
        <v>10000000</v>
      </c>
      <c r="E120" s="36">
        <f t="shared" si="57"/>
        <v>10000000</v>
      </c>
    </row>
    <row r="121" ht="15.75" customHeight="1">
      <c r="A121" s="5" t="s">
        <v>14</v>
      </c>
      <c r="B121" s="37">
        <f t="shared" ref="B121:E121" si="58">$B$14</f>
        <v>0.3</v>
      </c>
      <c r="C121" s="37">
        <f t="shared" si="58"/>
        <v>0.3</v>
      </c>
      <c r="D121" s="37">
        <f t="shared" si="58"/>
        <v>0.3</v>
      </c>
      <c r="E121" s="37">
        <f t="shared" si="58"/>
        <v>0.3</v>
      </c>
    </row>
    <row r="122" ht="15.75" customHeight="1">
      <c r="A122" s="5" t="s">
        <v>75</v>
      </c>
      <c r="B122" s="37">
        <f t="shared" ref="B122:E122" si="59">$B$22</f>
        <v>0.224</v>
      </c>
      <c r="C122" s="37">
        <f t="shared" si="59"/>
        <v>0.224</v>
      </c>
      <c r="D122" s="37">
        <f t="shared" si="59"/>
        <v>0.224</v>
      </c>
      <c r="E122" s="37">
        <f t="shared" si="59"/>
        <v>0.224</v>
      </c>
    </row>
    <row r="123" ht="15.75" customHeight="1">
      <c r="A123" s="5" t="s">
        <v>76</v>
      </c>
      <c r="B123" s="37">
        <f>D43</f>
        <v>0.816016</v>
      </c>
      <c r="C123" s="37">
        <f>D66</f>
        <v>0.89964</v>
      </c>
      <c r="D123" s="37">
        <f>D89</f>
        <v>1.00472</v>
      </c>
      <c r="E123" s="37">
        <f>D112</f>
        <v>1.1542</v>
      </c>
    </row>
    <row r="124" ht="15.75" customHeight="1">
      <c r="A124" s="5" t="s">
        <v>77</v>
      </c>
      <c r="B124" s="37">
        <f>H43</f>
        <v>0.816016</v>
      </c>
      <c r="C124" s="37">
        <f>H66</f>
        <v>0.89964</v>
      </c>
      <c r="D124" s="37">
        <f>H89</f>
        <v>1.00472</v>
      </c>
      <c r="E124" s="37">
        <f>H112</f>
        <v>1.1542</v>
      </c>
    </row>
    <row r="125" ht="15.75" customHeight="1">
      <c r="A125" s="5" t="s">
        <v>78</v>
      </c>
      <c r="B125" s="37">
        <f>M43</f>
        <v>0.816016</v>
      </c>
      <c r="C125" s="37">
        <f>M66</f>
        <v>0.89964</v>
      </c>
      <c r="D125" s="37">
        <f>M89</f>
        <v>1.00472</v>
      </c>
      <c r="E125" s="37">
        <f>M112</f>
        <v>1.1542</v>
      </c>
    </row>
    <row r="126" ht="15.75" customHeight="1">
      <c r="A126" s="5" t="s">
        <v>79</v>
      </c>
      <c r="B126" s="36">
        <f>M42</f>
        <v>1309141.959</v>
      </c>
      <c r="C126" s="36">
        <f>M65</f>
        <v>3472862.341</v>
      </c>
      <c r="D126" s="36">
        <f>M88</f>
        <v>10482152.51</v>
      </c>
      <c r="E126" s="36">
        <f>M111</f>
        <v>41957605.93</v>
      </c>
    </row>
    <row r="127" ht="15.75" customHeight="1">
      <c r="A127" s="10" t="s">
        <v>80</v>
      </c>
      <c r="B127" s="38">
        <f t="shared" ref="B127:B128" si="60">M45</f>
        <v>48546173.66</v>
      </c>
      <c r="C127" s="38">
        <f t="shared" ref="C127:C128" si="61">M68</f>
        <v>68510104.85</v>
      </c>
      <c r="D127" s="38">
        <f t="shared" ref="D127:D128" si="62">M91</f>
        <v>112633108.7</v>
      </c>
      <c r="E127" s="38">
        <f t="shared" ref="E127:E128" si="63">M114</f>
        <v>249205374.6</v>
      </c>
    </row>
    <row r="128" ht="15.75" customHeight="1">
      <c r="A128" s="10" t="s">
        <v>81</v>
      </c>
      <c r="B128" s="39">
        <f t="shared" si="60"/>
        <v>4.854617366</v>
      </c>
      <c r="C128" s="39">
        <f t="shared" si="61"/>
        <v>6.851010485</v>
      </c>
      <c r="D128" s="39">
        <f t="shared" si="62"/>
        <v>11.26331087</v>
      </c>
      <c r="E128" s="39">
        <f t="shared" si="63"/>
        <v>24.92053746</v>
      </c>
    </row>
    <row r="129" ht="15.75" customHeight="1"/>
    <row r="130" ht="15.75" customHeight="1">
      <c r="A130" s="40" t="s">
        <v>82</v>
      </c>
    </row>
    <row r="131" ht="15.75" customHeight="1">
      <c r="A131" s="41" t="s">
        <v>83</v>
      </c>
    </row>
    <row r="132" ht="15.75" customHeight="1">
      <c r="A132" s="41" t="s">
        <v>84</v>
      </c>
    </row>
    <row r="133" ht="15.75" customHeight="1">
      <c r="A133" s="41" t="s">
        <v>85</v>
      </c>
    </row>
    <row r="134" ht="15.75" customHeight="1">
      <c r="A134" s="41" t="s">
        <v>86</v>
      </c>
    </row>
    <row r="135" ht="15.75" customHeight="1">
      <c r="A135" s="41" t="s">
        <v>87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M1"/>
    <mergeCell ref="A2:M2"/>
    <mergeCell ref="A3:M3"/>
    <mergeCell ref="C9:M9"/>
    <mergeCell ref="C14:M14"/>
    <mergeCell ref="C16:M16"/>
    <mergeCell ref="C21:M21"/>
    <mergeCell ref="C22:M22"/>
    <mergeCell ref="C24:M24"/>
    <mergeCell ref="A26:B26"/>
    <mergeCell ref="C26:M26"/>
    <mergeCell ref="A49:B49"/>
    <mergeCell ref="C49:M49"/>
    <mergeCell ref="C72:M72"/>
    <mergeCell ref="A134:M134"/>
    <mergeCell ref="A135:M135"/>
    <mergeCell ref="A72:B72"/>
    <mergeCell ref="A95:B95"/>
    <mergeCell ref="C95:M95"/>
    <mergeCell ref="A118:E118"/>
    <mergeCell ref="A131:M131"/>
    <mergeCell ref="A132:M132"/>
    <mergeCell ref="A133:M13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6" width="18.0"/>
    <col customWidth="1" min="7" max="7" width="20.0"/>
    <col customWidth="1" min="8" max="8" width="42.0"/>
    <col customWidth="1" min="9" max="26" width="8.71"/>
  </cols>
  <sheetData>
    <row r="1">
      <c r="A1" s="1" t="s">
        <v>88</v>
      </c>
    </row>
    <row r="2">
      <c r="A2" s="3" t="s">
        <v>89</v>
      </c>
    </row>
    <row r="4">
      <c r="A4" s="8" t="s">
        <v>90</v>
      </c>
    </row>
    <row r="5">
      <c r="A5" s="14" t="s">
        <v>91</v>
      </c>
      <c r="B5" s="14" t="s">
        <v>92</v>
      </c>
      <c r="C5" s="14" t="s">
        <v>93</v>
      </c>
      <c r="D5" s="14" t="s">
        <v>94</v>
      </c>
      <c r="E5" s="14" t="s">
        <v>95</v>
      </c>
    </row>
    <row r="6">
      <c r="A6" s="42">
        <v>0.0</v>
      </c>
      <c r="B6" s="43">
        <v>0.25</v>
      </c>
      <c r="C6" s="44">
        <v>0.186666666666667</v>
      </c>
      <c r="D6" s="45">
        <v>0.292134831460674</v>
      </c>
      <c r="E6" s="9" t="s">
        <v>96</v>
      </c>
    </row>
    <row r="7">
      <c r="A7" s="42">
        <v>0.1</v>
      </c>
      <c r="B7" s="43">
        <v>0.27</v>
      </c>
      <c r="C7" s="44">
        <v>0.2016</v>
      </c>
      <c r="D7" s="45">
        <v>0.300932090545939</v>
      </c>
      <c r="E7" s="46">
        <v>0.00879725908526463</v>
      </c>
    </row>
    <row r="8">
      <c r="A8" s="42">
        <v>0.2</v>
      </c>
      <c r="B8" s="43">
        <v>0.29</v>
      </c>
      <c r="C8" s="44">
        <v>0.216533333333333</v>
      </c>
      <c r="D8" s="45">
        <v>0.309513371328365</v>
      </c>
      <c r="E8" s="46">
        <v>0.0173785398676907</v>
      </c>
    </row>
    <row r="9">
      <c r="A9" s="47">
        <v>0.25</v>
      </c>
      <c r="B9" s="48">
        <v>0.3</v>
      </c>
      <c r="C9" s="29">
        <v>0.224</v>
      </c>
      <c r="D9" s="49">
        <v>0.313725490196078</v>
      </c>
      <c r="E9" s="50">
        <v>0.0215906587354042</v>
      </c>
    </row>
    <row r="10">
      <c r="A10" s="42">
        <v>0.3</v>
      </c>
      <c r="B10" s="43">
        <v>0.31</v>
      </c>
      <c r="C10" s="44">
        <v>0.231466666666667</v>
      </c>
      <c r="D10" s="45">
        <v>0.317886530965786</v>
      </c>
      <c r="E10" s="46">
        <v>0.0257516995051119</v>
      </c>
    </row>
    <row r="11">
      <c r="A11" s="42">
        <v>0.4</v>
      </c>
      <c r="B11" s="43">
        <v>0.33</v>
      </c>
      <c r="C11" s="44">
        <v>0.2464</v>
      </c>
      <c r="D11" s="45">
        <v>0.326059050064185</v>
      </c>
      <c r="E11" s="46">
        <v>0.0339242186035107</v>
      </c>
    </row>
    <row r="12">
      <c r="A12" s="42">
        <v>0.5</v>
      </c>
      <c r="B12" s="43">
        <v>0.35</v>
      </c>
      <c r="C12" s="44">
        <v>0.261333333333333</v>
      </c>
      <c r="D12" s="45">
        <v>0.334038054968288</v>
      </c>
      <c r="E12" s="46">
        <v>0.0419032235076134</v>
      </c>
    </row>
    <row r="15">
      <c r="A15" s="8" t="s">
        <v>97</v>
      </c>
    </row>
    <row r="16">
      <c r="A16" s="14" t="s">
        <v>98</v>
      </c>
      <c r="B16" s="14" t="s">
        <v>99</v>
      </c>
      <c r="C16" s="14" t="s">
        <v>100</v>
      </c>
      <c r="D16" s="14" t="s">
        <v>101</v>
      </c>
      <c r="E16" s="14" t="s">
        <v>102</v>
      </c>
      <c r="F16" s="14" t="s">
        <v>103</v>
      </c>
      <c r="G16" s="14" t="s">
        <v>94</v>
      </c>
      <c r="H16" s="14" t="s">
        <v>104</v>
      </c>
    </row>
    <row r="17">
      <c r="A17" s="10" t="s">
        <v>105</v>
      </c>
      <c r="B17" s="51">
        <v>1.0</v>
      </c>
      <c r="C17" s="51">
        <v>0.0</v>
      </c>
      <c r="D17" s="51">
        <v>0.0</v>
      </c>
      <c r="E17" s="44">
        <v>1.0</v>
      </c>
      <c r="F17" s="44">
        <v>0.3</v>
      </c>
      <c r="G17" s="45">
        <v>0.353846153846154</v>
      </c>
      <c r="H17" s="41" t="s">
        <v>106</v>
      </c>
    </row>
    <row r="18">
      <c r="A18" s="10" t="s">
        <v>107</v>
      </c>
      <c r="B18" s="51">
        <v>0.7</v>
      </c>
      <c r="C18" s="51">
        <v>0.2</v>
      </c>
      <c r="D18" s="51">
        <v>0.1</v>
      </c>
      <c r="E18" s="44">
        <v>0.786666666666667</v>
      </c>
      <c r="F18" s="44">
        <v>0.236</v>
      </c>
      <c r="G18" s="45">
        <v>0.320388349514563</v>
      </c>
      <c r="H18" s="41" t="s">
        <v>106</v>
      </c>
    </row>
    <row r="19">
      <c r="A19" s="52" t="s">
        <v>108</v>
      </c>
      <c r="B19" s="53">
        <v>0.65</v>
      </c>
      <c r="C19" s="53">
        <v>0.2</v>
      </c>
      <c r="D19" s="53">
        <v>0.15</v>
      </c>
      <c r="E19" s="29">
        <v>0.746666666666667</v>
      </c>
      <c r="F19" s="29">
        <v>0.224</v>
      </c>
      <c r="G19" s="49">
        <v>0.313725490196078</v>
      </c>
      <c r="H19" s="54" t="s">
        <v>106</v>
      </c>
    </row>
    <row r="20">
      <c r="A20" s="10" t="s">
        <v>109</v>
      </c>
      <c r="B20" s="51">
        <v>0.5</v>
      </c>
      <c r="C20" s="51">
        <v>0.3</v>
      </c>
      <c r="D20" s="51">
        <v>0.2</v>
      </c>
      <c r="E20" s="44">
        <v>0.64</v>
      </c>
      <c r="F20" s="44">
        <v>0.192</v>
      </c>
      <c r="G20" s="45">
        <v>0.295302013422819</v>
      </c>
      <c r="H20" s="41" t="s">
        <v>106</v>
      </c>
    </row>
    <row r="21" ht="15.75" customHeight="1">
      <c r="A21" s="10" t="s">
        <v>110</v>
      </c>
      <c r="B21" s="51">
        <v>0.3</v>
      </c>
      <c r="C21" s="51">
        <v>0.4</v>
      </c>
      <c r="D21" s="51">
        <v>0.3</v>
      </c>
      <c r="E21" s="44">
        <v>0.493333333333333</v>
      </c>
      <c r="F21" s="44">
        <v>0.148</v>
      </c>
      <c r="G21" s="45">
        <v>0.268292682926829</v>
      </c>
      <c r="H21" s="41" t="s">
        <v>106</v>
      </c>
    </row>
    <row r="22" ht="15.75" customHeight="1">
      <c r="A22" s="10" t="s">
        <v>111</v>
      </c>
      <c r="B22" s="51">
        <v>0.0</v>
      </c>
      <c r="C22" s="51">
        <v>1.0</v>
      </c>
      <c r="D22" s="51">
        <v>0.0</v>
      </c>
      <c r="E22" s="44">
        <v>0.333333333333333</v>
      </c>
      <c r="F22" s="44">
        <v>0.1</v>
      </c>
      <c r="G22" s="45">
        <v>0.236363636363636</v>
      </c>
      <c r="H22" s="41" t="s">
        <v>112</v>
      </c>
    </row>
    <row r="23" ht="15.75" customHeight="1">
      <c r="A23" s="10" t="s">
        <v>113</v>
      </c>
      <c r="B23" s="51">
        <v>0.0</v>
      </c>
      <c r="C23" s="51">
        <v>0.0</v>
      </c>
      <c r="D23" s="51">
        <v>1.0</v>
      </c>
      <c r="E23" s="44">
        <v>0.2</v>
      </c>
      <c r="F23" s="44">
        <v>0.06</v>
      </c>
      <c r="G23" s="45">
        <v>0.207547169811321</v>
      </c>
      <c r="H23" s="41" t="s">
        <v>112</v>
      </c>
    </row>
    <row r="24" ht="15.75" customHeight="1"/>
    <row r="25" ht="15.75" customHeight="1"/>
    <row r="26" ht="15.75" customHeight="1">
      <c r="A26" s="8" t="s">
        <v>114</v>
      </c>
    </row>
    <row r="27" ht="15.75" customHeight="1">
      <c r="A27" s="14" t="s">
        <v>115</v>
      </c>
      <c r="B27" s="14" t="s">
        <v>116</v>
      </c>
      <c r="C27" s="14" t="s">
        <v>117</v>
      </c>
      <c r="D27" s="14" t="s">
        <v>118</v>
      </c>
      <c r="E27" s="14" t="s">
        <v>119</v>
      </c>
      <c r="F27" s="14" t="s">
        <v>58</v>
      </c>
      <c r="G27" s="14" t="s">
        <v>120</v>
      </c>
    </row>
    <row r="28" ht="15.75" customHeight="1">
      <c r="A28" s="51">
        <v>0.04</v>
      </c>
      <c r="B28" s="15">
        <v>9600.0</v>
      </c>
      <c r="C28" s="15">
        <v>2150.4</v>
      </c>
      <c r="D28" s="15">
        <v>600.0</v>
      </c>
      <c r="E28" s="55">
        <v>12350.4</v>
      </c>
      <c r="F28" s="44">
        <v>1.23504</v>
      </c>
      <c r="G28" s="56" t="s">
        <v>121</v>
      </c>
    </row>
    <row r="29" ht="15.75" customHeight="1">
      <c r="A29" s="51">
        <v>0.06</v>
      </c>
      <c r="B29" s="15">
        <v>9400.0</v>
      </c>
      <c r="C29" s="15">
        <v>2105.6</v>
      </c>
      <c r="D29" s="15">
        <v>600.0</v>
      </c>
      <c r="E29" s="55">
        <v>12105.6</v>
      </c>
      <c r="F29" s="44">
        <v>1.21056</v>
      </c>
      <c r="G29" s="56" t="s">
        <v>121</v>
      </c>
    </row>
    <row r="30" ht="15.75" customHeight="1">
      <c r="A30" s="51">
        <v>0.08</v>
      </c>
      <c r="B30" s="15">
        <v>9200.0</v>
      </c>
      <c r="C30" s="15">
        <v>2060.8</v>
      </c>
      <c r="D30" s="15">
        <v>600.0</v>
      </c>
      <c r="E30" s="55">
        <v>11860.8</v>
      </c>
      <c r="F30" s="44">
        <v>1.18608</v>
      </c>
      <c r="G30" s="56" t="s">
        <v>121</v>
      </c>
    </row>
    <row r="31" ht="15.75" customHeight="1">
      <c r="A31" s="51">
        <v>0.1</v>
      </c>
      <c r="B31" s="15">
        <v>9000.0</v>
      </c>
      <c r="C31" s="15">
        <v>2016.0</v>
      </c>
      <c r="D31" s="15">
        <v>600.0</v>
      </c>
      <c r="E31" s="55">
        <v>11616.0</v>
      </c>
      <c r="F31" s="44">
        <v>1.1616</v>
      </c>
      <c r="G31" s="56" t="s">
        <v>121</v>
      </c>
    </row>
    <row r="32" ht="15.75" customHeight="1">
      <c r="A32" s="51">
        <v>0.12</v>
      </c>
      <c r="B32" s="15">
        <v>8800.0</v>
      </c>
      <c r="C32" s="15">
        <v>1971.2</v>
      </c>
      <c r="D32" s="15">
        <v>600.0</v>
      </c>
      <c r="E32" s="55">
        <v>11371.2</v>
      </c>
      <c r="F32" s="44">
        <v>1.13712</v>
      </c>
      <c r="G32" s="56" t="s">
        <v>121</v>
      </c>
    </row>
    <row r="33" ht="15.75" customHeight="1">
      <c r="A33" s="51">
        <v>0.15</v>
      </c>
      <c r="B33" s="15">
        <v>8500.0</v>
      </c>
      <c r="C33" s="15">
        <v>1904.0</v>
      </c>
      <c r="D33" s="15">
        <v>600.0</v>
      </c>
      <c r="E33" s="55">
        <v>11004.0</v>
      </c>
      <c r="F33" s="44">
        <v>1.1004</v>
      </c>
      <c r="G33" s="56" t="s">
        <v>121</v>
      </c>
    </row>
    <row r="34" ht="15.75" customHeight="1">
      <c r="A34" s="51">
        <v>0.18</v>
      </c>
      <c r="B34" s="15">
        <v>8200.0</v>
      </c>
      <c r="C34" s="15">
        <v>1836.8</v>
      </c>
      <c r="D34" s="15">
        <v>600.0</v>
      </c>
      <c r="E34" s="55">
        <v>10636.8</v>
      </c>
      <c r="F34" s="44">
        <v>1.06368</v>
      </c>
      <c r="G34" s="56" t="s">
        <v>121</v>
      </c>
    </row>
    <row r="35" ht="15.75" customHeight="1">
      <c r="A35" s="51">
        <v>0.2</v>
      </c>
      <c r="B35" s="15">
        <v>8000.0</v>
      </c>
      <c r="C35" s="15">
        <v>1792.0</v>
      </c>
      <c r="D35" s="15">
        <v>600.0</v>
      </c>
      <c r="E35" s="55">
        <v>10392.0</v>
      </c>
      <c r="F35" s="44">
        <v>1.0392</v>
      </c>
      <c r="G35" s="56" t="s">
        <v>121</v>
      </c>
    </row>
    <row r="36" ht="15.75" customHeight="1">
      <c r="A36" s="51">
        <v>0.25</v>
      </c>
      <c r="B36" s="15">
        <v>7500.0</v>
      </c>
      <c r="C36" s="15">
        <v>1680.0</v>
      </c>
      <c r="D36" s="15">
        <v>600.0</v>
      </c>
      <c r="E36" s="55">
        <v>9780.0</v>
      </c>
      <c r="F36" s="44">
        <v>0.978</v>
      </c>
      <c r="G36" s="10" t="s">
        <v>122</v>
      </c>
    </row>
    <row r="37" ht="15.75" customHeight="1">
      <c r="A37" s="51">
        <v>0.28</v>
      </c>
      <c r="B37" s="15">
        <v>7200.0</v>
      </c>
      <c r="C37" s="15">
        <v>1612.8</v>
      </c>
      <c r="D37" s="15">
        <v>600.0</v>
      </c>
      <c r="E37" s="55">
        <v>9412.8</v>
      </c>
      <c r="F37" s="44">
        <v>0.94128</v>
      </c>
      <c r="G37" s="10" t="s">
        <v>122</v>
      </c>
    </row>
    <row r="38" ht="15.75" customHeight="1">
      <c r="A38" s="51">
        <v>0.3</v>
      </c>
      <c r="B38" s="15">
        <v>7000.0</v>
      </c>
      <c r="C38" s="15">
        <v>1568.0</v>
      </c>
      <c r="D38" s="15">
        <v>600.0</v>
      </c>
      <c r="E38" s="55">
        <v>9168.0</v>
      </c>
      <c r="F38" s="44">
        <v>0.9168</v>
      </c>
      <c r="G38" s="10" t="s">
        <v>122</v>
      </c>
    </row>
    <row r="39" ht="15.75" customHeight="1"/>
    <row r="40" ht="15.75" customHeight="1"/>
    <row r="41" ht="15.75" customHeight="1">
      <c r="A41" s="57" t="s">
        <v>123</v>
      </c>
    </row>
    <row r="42" ht="15.75" customHeight="1">
      <c r="A42" s="41" t="s">
        <v>124</v>
      </c>
    </row>
    <row r="43" ht="15.75" customHeight="1">
      <c r="A43" s="41" t="s">
        <v>125</v>
      </c>
    </row>
    <row r="44" ht="15.75" customHeight="1">
      <c r="A44" s="41" t="s">
        <v>126</v>
      </c>
    </row>
    <row r="45" ht="15.75" customHeight="1">
      <c r="A45" s="41" t="s">
        <v>127</v>
      </c>
    </row>
    <row r="46" ht="15.75" customHeight="1">
      <c r="A46" s="41" t="s">
        <v>128</v>
      </c>
    </row>
    <row r="47" ht="15.75" customHeight="1">
      <c r="A47" s="41" t="s">
        <v>129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2:H2"/>
    <mergeCell ref="A42:H42"/>
    <mergeCell ref="A43:H43"/>
    <mergeCell ref="A44:H44"/>
    <mergeCell ref="A45:H45"/>
    <mergeCell ref="A46:H46"/>
    <mergeCell ref="A47:H4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16.0"/>
    <col customWidth="1" min="4" max="4" width="22.0"/>
    <col customWidth="1" min="5" max="5" width="42.0"/>
    <col customWidth="1" min="6" max="6" width="50.0"/>
    <col customWidth="1" min="7" max="26" width="8.71"/>
  </cols>
  <sheetData>
    <row r="1">
      <c r="A1" s="1" t="s">
        <v>130</v>
      </c>
    </row>
    <row r="2">
      <c r="A2" s="3" t="s">
        <v>131</v>
      </c>
    </row>
    <row r="4">
      <c r="A4" s="10" t="s">
        <v>132</v>
      </c>
      <c r="B4" s="7">
        <v>0.9</v>
      </c>
    </row>
    <row r="6">
      <c r="A6" s="8" t="s">
        <v>133</v>
      </c>
    </row>
    <row r="7">
      <c r="A7" s="14" t="s">
        <v>134</v>
      </c>
      <c r="B7" s="14" t="s">
        <v>135</v>
      </c>
      <c r="C7" s="14" t="s">
        <v>136</v>
      </c>
      <c r="D7" s="14" t="s">
        <v>137</v>
      </c>
      <c r="E7" s="14" t="s">
        <v>138</v>
      </c>
    </row>
    <row r="8">
      <c r="A8" s="52" t="s">
        <v>139</v>
      </c>
      <c r="B8" s="58">
        <f>$B$4</f>
        <v>0.9</v>
      </c>
      <c r="C8" s="59">
        <f>1-$B$4</f>
        <v>0.1</v>
      </c>
      <c r="D8" s="60">
        <f>(1-$B$4)*10000</f>
        <v>1000</v>
      </c>
      <c r="E8" s="61" t="s">
        <v>140</v>
      </c>
    </row>
    <row r="9">
      <c r="A9" s="10" t="s">
        <v>141</v>
      </c>
      <c r="B9" s="62">
        <f>$B$4^(1/4)</f>
        <v>0.9740037464</v>
      </c>
      <c r="C9" s="63">
        <f>1-$B$4^(1/4)</f>
        <v>0.02599625357</v>
      </c>
      <c r="D9" s="64">
        <f>(1-$B$4^(1/4))*10000</f>
        <v>259.9625357</v>
      </c>
      <c r="E9" s="9" t="s">
        <v>142</v>
      </c>
    </row>
    <row r="10">
      <c r="A10" s="10" t="s">
        <v>143</v>
      </c>
      <c r="B10" s="62">
        <f>$B$4^(1/12)</f>
        <v>0.991258389</v>
      </c>
      <c r="C10" s="63">
        <f>1-$B$4^(1/12)</f>
        <v>0.008741610955</v>
      </c>
      <c r="D10" s="64">
        <f>(1-$B$4^(1/12))*10000</f>
        <v>87.41610955</v>
      </c>
      <c r="E10" s="9" t="s">
        <v>144</v>
      </c>
    </row>
    <row r="12">
      <c r="A12" s="57" t="s">
        <v>145</v>
      </c>
    </row>
    <row r="13">
      <c r="A13" s="14" t="s">
        <v>134</v>
      </c>
      <c r="B13" s="14" t="s">
        <v>146</v>
      </c>
      <c r="C13" s="14" t="s">
        <v>147</v>
      </c>
      <c r="D13" s="14" t="s">
        <v>148</v>
      </c>
      <c r="E13" s="14" t="s">
        <v>149</v>
      </c>
      <c r="F13" s="14" t="s">
        <v>150</v>
      </c>
    </row>
    <row r="14">
      <c r="A14" s="10" t="s">
        <v>143</v>
      </c>
      <c r="B14" s="5" t="s">
        <v>151</v>
      </c>
      <c r="C14" s="7">
        <v>0.992</v>
      </c>
      <c r="D14" s="65">
        <v>0.995</v>
      </c>
      <c r="E14" s="2" t="s">
        <v>152</v>
      </c>
      <c r="F14" s="41" t="s">
        <v>153</v>
      </c>
    </row>
    <row r="15">
      <c r="A15" s="10" t="s">
        <v>141</v>
      </c>
      <c r="B15" s="5" t="s">
        <v>154</v>
      </c>
      <c r="C15" s="7">
        <v>0.975</v>
      </c>
      <c r="D15" s="65">
        <v>0.98</v>
      </c>
      <c r="E15" s="2" t="s">
        <v>155</v>
      </c>
      <c r="F15" s="41" t="s">
        <v>156</v>
      </c>
    </row>
    <row r="16">
      <c r="A16" s="10" t="s">
        <v>139</v>
      </c>
      <c r="B16" s="5" t="s">
        <v>157</v>
      </c>
      <c r="C16" s="7">
        <v>0.9</v>
      </c>
      <c r="D16" s="65">
        <v>0.95</v>
      </c>
      <c r="E16" s="2" t="s">
        <v>158</v>
      </c>
      <c r="F16" s="41" t="s">
        <v>159</v>
      </c>
    </row>
    <row r="19">
      <c r="A19" s="8" t="s">
        <v>160</v>
      </c>
    </row>
    <row r="20">
      <c r="A20" s="41" t="s">
        <v>161</v>
      </c>
    </row>
    <row r="21" ht="15.75" customHeight="1">
      <c r="A21" s="41" t="s">
        <v>162</v>
      </c>
    </row>
    <row r="22" ht="15.75" customHeight="1">
      <c r="A22" s="41" t="s">
        <v>163</v>
      </c>
    </row>
    <row r="23" ht="15.75" customHeight="1">
      <c r="A23" s="41" t="s">
        <v>164</v>
      </c>
    </row>
    <row r="24" ht="15.75" customHeight="1">
      <c r="A24" s="41" t="s">
        <v>165</v>
      </c>
    </row>
    <row r="25" ht="15.75" customHeight="1"/>
    <row r="26" ht="15.75" customHeight="1"/>
    <row r="27" ht="15.75" customHeight="1">
      <c r="A27" s="8" t="s">
        <v>166</v>
      </c>
    </row>
    <row r="28" ht="15.75" customHeight="1">
      <c r="A28" s="14" t="s">
        <v>167</v>
      </c>
      <c r="B28" s="14" t="s">
        <v>141</v>
      </c>
      <c r="C28" s="14" t="s">
        <v>143</v>
      </c>
      <c r="D28" s="14" t="s">
        <v>168</v>
      </c>
      <c r="E28" s="14" t="s">
        <v>169</v>
      </c>
      <c r="F28" s="14" t="s">
        <v>170</v>
      </c>
    </row>
    <row r="29" ht="15.75" customHeight="1">
      <c r="A29" s="42">
        <v>0.8</v>
      </c>
      <c r="B29" s="63">
        <v>0.945741609003176</v>
      </c>
      <c r="C29" s="63">
        <v>0.981576529873752</v>
      </c>
      <c r="D29" s="64">
        <v>2000.0</v>
      </c>
      <c r="E29" s="5">
        <v>3.1</v>
      </c>
      <c r="F29" s="5" t="s">
        <v>171</v>
      </c>
    </row>
    <row r="30" ht="15.75" customHeight="1">
      <c r="A30" s="42">
        <v>0.85</v>
      </c>
      <c r="B30" s="63">
        <v>0.960184589404188</v>
      </c>
      <c r="C30" s="63">
        <v>0.986548052988131</v>
      </c>
      <c r="D30" s="64">
        <v>1500.0</v>
      </c>
      <c r="E30" s="5">
        <v>4.3</v>
      </c>
      <c r="F30" s="5" t="s">
        <v>172</v>
      </c>
    </row>
    <row r="31" ht="15.75" customHeight="1">
      <c r="A31" s="47">
        <v>0.9</v>
      </c>
      <c r="B31" s="59">
        <v>0.974003746425297</v>
      </c>
      <c r="C31" s="59">
        <v>0.991258389045303</v>
      </c>
      <c r="D31" s="60">
        <v>1000.0</v>
      </c>
      <c r="E31" s="66">
        <v>6.6</v>
      </c>
      <c r="F31" s="66" t="s">
        <v>173</v>
      </c>
    </row>
    <row r="32" ht="15.75" customHeight="1">
      <c r="A32" s="42">
        <v>0.95</v>
      </c>
      <c r="B32" s="63">
        <v>0.987258544901434</v>
      </c>
      <c r="C32" s="63">
        <v>0.995734681222439</v>
      </c>
      <c r="D32" s="64">
        <v>500.000000000001</v>
      </c>
      <c r="E32" s="5">
        <v>13.5</v>
      </c>
      <c r="F32" s="5" t="s">
        <v>174</v>
      </c>
    </row>
    <row r="33" ht="15.75" customHeight="1">
      <c r="A33" s="42">
        <v>1.0</v>
      </c>
      <c r="B33" s="63">
        <v>1.0</v>
      </c>
      <c r="C33" s="63">
        <v>1.0</v>
      </c>
      <c r="D33" s="64">
        <v>0.0</v>
      </c>
      <c r="E33" s="56" t="s">
        <v>175</v>
      </c>
      <c r="F33" s="5" t="s">
        <v>176</v>
      </c>
    </row>
    <row r="34" ht="15.75" customHeight="1">
      <c r="A34" s="42">
        <v>1.05</v>
      </c>
      <c r="B34" s="63">
        <v>1.01227223442904</v>
      </c>
      <c r="C34" s="63">
        <v>1.00407412378365</v>
      </c>
      <c r="D34" s="56" t="s">
        <v>177</v>
      </c>
      <c r="E34" s="56" t="s">
        <v>121</v>
      </c>
      <c r="F34" s="5" t="s">
        <v>121</v>
      </c>
    </row>
    <row r="35" ht="15.75" customHeight="1">
      <c r="A35" s="42">
        <v>1.1</v>
      </c>
      <c r="B35" s="63">
        <v>1.02411368908445</v>
      </c>
      <c r="C35" s="63">
        <v>1.0079741404289</v>
      </c>
      <c r="D35" s="56" t="s">
        <v>178</v>
      </c>
      <c r="E35" s="56" t="s">
        <v>121</v>
      </c>
      <c r="F35" s="5" t="s">
        <v>179</v>
      </c>
    </row>
    <row r="36" ht="15.75" customHeight="1">
      <c r="A36" s="42">
        <v>1.15</v>
      </c>
      <c r="B36" s="63">
        <v>1.03555807634162</v>
      </c>
      <c r="C36" s="63">
        <v>1.01171491691985</v>
      </c>
      <c r="D36" s="56" t="s">
        <v>180</v>
      </c>
      <c r="E36" s="56" t="s">
        <v>121</v>
      </c>
      <c r="F36" s="5" t="s">
        <v>181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20:G20"/>
    <mergeCell ref="A21:G21"/>
    <mergeCell ref="A22:G22"/>
    <mergeCell ref="A23:G23"/>
    <mergeCell ref="A24:G24"/>
  </mergeCells>
  <printOptions/>
  <pageMargins bottom="1.0" footer="0.0" header="0.0" left="0.75" right="0.75" top="1.0"/>
  <pageSetup paperSize="9" orientation="portrait"/>
  <drawing r:id="rId1"/>
</worksheet>
</file>